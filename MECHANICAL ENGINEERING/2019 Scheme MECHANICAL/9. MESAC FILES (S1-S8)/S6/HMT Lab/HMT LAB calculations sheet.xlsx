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tephan Bolt" sheetId="2" r:id="rId6"/>
    <sheet state="visible" name="Parallel flow heat exchanger" sheetId="3" r:id="rId7"/>
    <sheet state="visible" name="counter flow" sheetId="4" r:id="rId8"/>
    <sheet state="visible" name="Shell and tube Heat exchanger" sheetId="5" r:id="rId9"/>
    <sheet state="visible" name="forced convection" sheetId="6" r:id="rId10"/>
    <sheet state="visible" name="Natura Cincection" sheetId="7" r:id="rId11"/>
  </sheets>
  <definedNames/>
  <calcPr/>
</workbook>
</file>

<file path=xl/sharedStrings.xml><?xml version="1.0" encoding="utf-8"?>
<sst xmlns="http://schemas.openxmlformats.org/spreadsheetml/2006/main" count="200" uniqueCount="107">
  <si>
    <t>To access this file: Go to File &gt; Make a Copy &gt; Save to your drive</t>
  </si>
  <si>
    <t>Mass of the disk</t>
  </si>
  <si>
    <t>Specific heat on the Disc material</t>
  </si>
  <si>
    <t>Thermo couple NO</t>
  </si>
  <si>
    <t>Temperature in C</t>
  </si>
  <si>
    <t>in K</t>
  </si>
  <si>
    <t>T1</t>
  </si>
  <si>
    <t>T2</t>
  </si>
  <si>
    <t>T3</t>
  </si>
  <si>
    <t>T4</t>
  </si>
  <si>
    <t>Average temperature in C and K</t>
  </si>
  <si>
    <t>Temperature in the disk when inserted T5</t>
  </si>
  <si>
    <t>Time in S</t>
  </si>
  <si>
    <t>Temp in c</t>
  </si>
  <si>
    <t>Slope of the graph</t>
  </si>
  <si>
    <t>Dia of the disc in m</t>
  </si>
  <si>
    <t>Are if the disc</t>
  </si>
  <si>
    <t>Stephan Bolts man constant</t>
  </si>
  <si>
    <t>Dia of tube</t>
  </si>
  <si>
    <t>water property table</t>
  </si>
  <si>
    <t>http://www.mhtl.uwaterloo.ca/old/onlinetools/airprop/airprop.html</t>
  </si>
  <si>
    <t>Length of tube</t>
  </si>
  <si>
    <t>Area Of tube</t>
  </si>
  <si>
    <t>Data Book Values</t>
  </si>
  <si>
    <t>Hot fluid inlet T inC</t>
  </si>
  <si>
    <t>Hot fluid Outlet Temt in C</t>
  </si>
  <si>
    <t>Average</t>
  </si>
  <si>
    <t>Cold Water IN In C</t>
  </si>
  <si>
    <t>Cold Water Out In C</t>
  </si>
  <si>
    <t>LMTD</t>
  </si>
  <si>
    <t>Hot Water</t>
  </si>
  <si>
    <t>Cold Water</t>
  </si>
  <si>
    <t>Hot Water flow rate</t>
  </si>
  <si>
    <t>Cold Water Fow Rate</t>
  </si>
  <si>
    <t>Heat Transfer Occured</t>
  </si>
  <si>
    <t>Heat Transfer coefficient</t>
  </si>
  <si>
    <t>C Min</t>
  </si>
  <si>
    <t>Q Max</t>
  </si>
  <si>
    <t>Effectivenes</t>
  </si>
  <si>
    <t>θ1</t>
  </si>
  <si>
    <t>θ2</t>
  </si>
  <si>
    <t>Density</t>
  </si>
  <si>
    <t>Cph</t>
  </si>
  <si>
    <t>Cpc</t>
  </si>
  <si>
    <t>Time required for given volume</t>
  </si>
  <si>
    <t>Volume in m3</t>
  </si>
  <si>
    <t>Mass flow rate</t>
  </si>
  <si>
    <t>HOT</t>
  </si>
  <si>
    <t>COLD</t>
  </si>
  <si>
    <t>Correction factor calculator</t>
  </si>
  <si>
    <t>https://checalc.com/solved/LMTD_Chart.html</t>
  </si>
  <si>
    <t>Number of tubes</t>
  </si>
  <si>
    <t>capacity ratio R</t>
  </si>
  <si>
    <t>Temperature Ratio P</t>
  </si>
  <si>
    <t>Correction Factor F frompage no 159</t>
  </si>
  <si>
    <t>Volume in CC</t>
  </si>
  <si>
    <t>dia of throat</t>
  </si>
  <si>
    <t>Pipe dia</t>
  </si>
  <si>
    <t>C/S Area of throat</t>
  </si>
  <si>
    <t>heating length</t>
  </si>
  <si>
    <t>Cd</t>
  </si>
  <si>
    <t>Heating surface of the pipe</t>
  </si>
  <si>
    <t>Pipe C/S</t>
  </si>
  <si>
    <t>Voltage</t>
  </si>
  <si>
    <t>current</t>
  </si>
  <si>
    <t>Temperature In C</t>
  </si>
  <si>
    <t>Manometer Reading</t>
  </si>
  <si>
    <t>Discharge</t>
  </si>
  <si>
    <t>Actual Heat Transfer</t>
  </si>
  <si>
    <t>Coefficient actual</t>
  </si>
  <si>
    <t>Velocity V</t>
  </si>
  <si>
    <t>Re</t>
  </si>
  <si>
    <t>Pr</t>
  </si>
  <si>
    <t>Nuslet number</t>
  </si>
  <si>
    <t>Coefficient theotitical</t>
  </si>
  <si>
    <t>T5</t>
  </si>
  <si>
    <t>T6</t>
  </si>
  <si>
    <t>surface temp Ts</t>
  </si>
  <si>
    <t>Atmosfeear Temp Ta</t>
  </si>
  <si>
    <t>Air dencity</t>
  </si>
  <si>
    <t>Cp of air</t>
  </si>
  <si>
    <t>Viscocity u</t>
  </si>
  <si>
    <t>Conductivity K</t>
  </si>
  <si>
    <t>In water</t>
  </si>
  <si>
    <t>In air head</t>
  </si>
  <si>
    <t>By volume</t>
  </si>
  <si>
    <t>By mass</t>
  </si>
  <si>
    <t>Cylinder Dia</t>
  </si>
  <si>
    <t>Length Of the Cylinder</t>
  </si>
  <si>
    <t>Temperature</t>
  </si>
  <si>
    <t>u</t>
  </si>
  <si>
    <t>Cp</t>
  </si>
  <si>
    <t>v</t>
  </si>
  <si>
    <t>k</t>
  </si>
  <si>
    <t>β</t>
  </si>
  <si>
    <t>Gr</t>
  </si>
  <si>
    <t>Gr.Pr</t>
  </si>
  <si>
    <t>Nu</t>
  </si>
  <si>
    <t>h Theoritical</t>
  </si>
  <si>
    <t>Q Actual</t>
  </si>
  <si>
    <t>h Actual</t>
  </si>
  <si>
    <t>T7</t>
  </si>
  <si>
    <t>Ta</t>
  </si>
  <si>
    <t>Ts</t>
  </si>
  <si>
    <t>Tf</t>
  </si>
  <si>
    <t>V</t>
  </si>
  <si>
    <t>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</si>
</sst>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2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u/>
      <color rgb="FF1155CC"/>
    </font>
    <font>
      <b/>
      <u/>
      <color rgb="FF1155CC"/>
      <name val="Arial"/>
      <scheme val="minor"/>
    </font>
    <font>
      <b/>
      <color rgb="FF000000"/>
      <name val="Arial"/>
    </font>
    <font>
      <b/>
      <sz val="12.0"/>
      <color rgb="FF222222"/>
      <name val="Arial"/>
    </font>
    <font>
      <color theme="1"/>
      <name val="Arial"/>
    </font>
    <font>
      <b/>
      <u/>
      <color rgb="FF0000FF"/>
    </font>
    <font>
      <b/>
      <u/>
      <color rgb="FF0000FF"/>
    </font>
  </fonts>
  <fills count="1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2" fillId="3" fontId="3" numFmtId="0" xfId="0" applyAlignment="1" applyBorder="1" applyFill="1" applyFont="1">
      <alignment horizontal="center" readingOrder="0"/>
    </xf>
    <xf borderId="3" fillId="3" fontId="3" numFmtId="0" xfId="0" applyAlignment="1" applyBorder="1" applyFont="1">
      <alignment horizontal="center" readingOrder="0"/>
    </xf>
    <xf borderId="4" fillId="3" fontId="3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4" fontId="2" numFmtId="0" xfId="0" applyAlignment="1" applyBorder="1" applyFill="1" applyFont="1">
      <alignment horizontal="center" readingOrder="0"/>
    </xf>
    <xf borderId="4" fillId="0" fontId="4" numFmtId="0" xfId="0" applyBorder="1" applyFont="1"/>
    <xf borderId="2" fillId="0" fontId="2" numFmtId="0" xfId="0" applyAlignment="1" applyBorder="1" applyFont="1">
      <alignment readingOrder="0"/>
    </xf>
    <xf borderId="2" fillId="2" fontId="2" numFmtId="0" xfId="0" applyAlignment="1" applyBorder="1" applyFont="1">
      <alignment horizontal="center"/>
    </xf>
    <xf borderId="2" fillId="5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2" numFmtId="0" xfId="0" applyAlignment="1" applyFont="1">
      <alignment horizontal="center" readingOrder="0"/>
    </xf>
    <xf borderId="0" fillId="5" fontId="2" numFmtId="0" xfId="0" applyAlignment="1" applyFont="1">
      <alignment horizontal="center"/>
    </xf>
    <xf borderId="2" fillId="6" fontId="2" numFmtId="0" xfId="0" applyAlignment="1" applyBorder="1" applyFill="1" applyFont="1">
      <alignment horizontal="center" readingOrder="0"/>
    </xf>
    <xf borderId="2" fillId="5" fontId="2" numFmtId="0" xfId="0" applyAlignment="1" applyBorder="1" applyFont="1">
      <alignment horizontal="center" readingOrder="0"/>
    </xf>
    <xf borderId="0" fillId="7" fontId="2" numFmtId="0" xfId="0" applyAlignment="1" applyFill="1" applyFont="1">
      <alignment readingOrder="0"/>
    </xf>
    <xf borderId="0" fillId="5" fontId="2" numFmtId="11" xfId="0" applyFont="1" applyNumberFormat="1"/>
    <xf borderId="0" fillId="8" fontId="2" numFmtId="11" xfId="0" applyFill="1" applyFont="1" applyNumberFormat="1"/>
    <xf borderId="0" fillId="0" fontId="2" numFmtId="0" xfId="0" applyAlignment="1" applyFont="1">
      <alignment horizontal="center" readingOrder="0" shrinkToFit="0" wrapText="1"/>
    </xf>
    <xf borderId="0" fillId="9" fontId="2" numFmtId="0" xfId="0" applyAlignment="1" applyFill="1" applyFont="1">
      <alignment horizontal="center" readingOrder="0" shrinkToFit="0" wrapText="1"/>
    </xf>
    <xf borderId="0" fillId="10" fontId="3" numFmtId="0" xfId="0" applyAlignment="1" applyFill="1" applyFont="1">
      <alignment horizontal="center" readingOrder="0" shrinkToFit="0" wrapText="1"/>
    </xf>
    <xf borderId="0" fillId="10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wrapText="1"/>
    </xf>
    <xf borderId="0" fillId="11" fontId="2" numFmtId="11" xfId="0" applyAlignment="1" applyFill="1" applyFont="1" applyNumberFormat="1">
      <alignment horizontal="center" readingOrder="0" shrinkToFit="0" wrapText="1"/>
    </xf>
    <xf borderId="0" fillId="0" fontId="2" numFmtId="11" xfId="0" applyAlignment="1" applyFont="1" applyNumberFormat="1">
      <alignment horizontal="center" readingOrder="0" shrinkToFit="0" wrapText="1"/>
    </xf>
    <xf borderId="0" fillId="0" fontId="3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12" fontId="3" numFmtId="0" xfId="0" applyAlignment="1" applyFill="1" applyFont="1">
      <alignment horizontal="center" readingOrder="0"/>
    </xf>
    <xf borderId="0" fillId="0" fontId="7" numFmtId="0" xfId="0" applyAlignment="1" applyFont="1">
      <alignment horizontal="center" readingOrder="0" shrinkToFit="0" wrapText="1"/>
    </xf>
    <xf borderId="0" fillId="3" fontId="8" numFmtId="0" xfId="0" applyAlignment="1" applyFont="1">
      <alignment horizontal="center" readingOrder="0" shrinkToFit="0" wrapText="1"/>
    </xf>
    <xf borderId="0" fillId="12" fontId="3" numFmtId="0" xfId="0" applyAlignment="1" applyFont="1">
      <alignment horizontal="center" readingOrder="0" shrinkToFit="0" wrapText="1"/>
    </xf>
    <xf borderId="0" fillId="6" fontId="2" numFmtId="0" xfId="0" applyAlignment="1" applyFont="1">
      <alignment readingOrder="0"/>
    </xf>
    <xf borderId="0" fillId="11" fontId="2" numFmtId="0" xfId="0" applyAlignment="1" applyFont="1">
      <alignment readingOrder="0"/>
    </xf>
    <xf borderId="0" fillId="11" fontId="2" numFmtId="0" xfId="0" applyFont="1"/>
    <xf borderId="0" fillId="12" fontId="2" numFmtId="11" xfId="0" applyAlignment="1" applyFont="1" applyNumberFormat="1">
      <alignment readingOrder="0"/>
    </xf>
    <xf borderId="0" fillId="6" fontId="2" numFmtId="11" xfId="0" applyAlignment="1" applyFont="1" applyNumberFormat="1">
      <alignment readingOrder="0"/>
    </xf>
    <xf borderId="0" fillId="11" fontId="2" numFmtId="11" xfId="0" applyFont="1" applyNumberFormat="1"/>
    <xf borderId="0" fillId="8" fontId="2" numFmtId="4" xfId="0" applyFont="1" applyNumberFormat="1"/>
    <xf borderId="0" fillId="6" fontId="9" numFmtId="0" xfId="0" applyAlignment="1" applyFont="1">
      <alignment horizontal="right" vertical="bottom"/>
    </xf>
    <xf borderId="0" fillId="11" fontId="9" numFmtId="0" xfId="0" applyAlignment="1" applyFont="1">
      <alignment horizontal="right" vertical="bottom"/>
    </xf>
    <xf borderId="0" fillId="11" fontId="9" numFmtId="0" xfId="0" applyAlignment="1" applyFont="1">
      <alignment horizontal="right" vertical="bottom"/>
    </xf>
    <xf borderId="0" fillId="6" fontId="9" numFmtId="11" xfId="0" applyAlignment="1" applyFont="1" applyNumberFormat="1">
      <alignment horizontal="right" vertical="bottom"/>
    </xf>
    <xf borderId="0" fillId="11" fontId="9" numFmtId="11" xfId="0" applyAlignment="1" applyFont="1" applyNumberFormat="1">
      <alignment horizontal="right" vertical="bottom"/>
    </xf>
    <xf borderId="0" fillId="8" fontId="9" numFmtId="11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6" fontId="9" numFmtId="0" xfId="0" applyAlignment="1" applyFont="1">
      <alignment horizontal="right" vertical="bottom"/>
    </xf>
    <xf borderId="0" fillId="0" fontId="10" numFmtId="0" xfId="0" applyAlignment="1" applyFon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11" fontId="2" numFmtId="11" xfId="0" applyAlignment="1" applyFont="1" applyNumberFormat="1">
      <alignment readingOrder="0"/>
    </xf>
    <xf borderId="0" fillId="12" fontId="2" numFmtId="0" xfId="0" applyAlignment="1" applyFont="1">
      <alignment readingOrder="0"/>
    </xf>
    <xf borderId="0" fillId="6" fontId="9" numFmtId="0" xfId="0" applyAlignment="1" applyFont="1">
      <alignment horizontal="right" readingOrder="0" vertical="bottom"/>
    </xf>
    <xf borderId="0" fillId="0" fontId="2" numFmtId="0" xfId="0" applyAlignment="1" applyFont="1">
      <alignment readingOrder="0" shrinkToFit="0" wrapText="1"/>
    </xf>
    <xf borderId="0" fillId="6" fontId="2" numFmtId="0" xfId="0" applyAlignment="1" applyFont="1">
      <alignment readingOrder="0" shrinkToFit="0" wrapText="1"/>
    </xf>
    <xf borderId="0" fillId="6" fontId="2" numFmtId="0" xfId="0" applyAlignment="1" applyFont="1">
      <alignment horizontal="center" readingOrder="0" shrinkToFit="0" wrapText="1"/>
    </xf>
    <xf borderId="0" fillId="11" fontId="2" numFmtId="11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11" fontId="2" numFmtId="4" xfId="0" applyFont="1" applyNumberFormat="1"/>
    <xf borderId="0" fillId="6" fontId="2" numFmtId="0" xfId="0" applyFont="1"/>
    <xf borderId="0" fillId="12" fontId="2" numFmtId="0" xfId="0" applyFont="1"/>
    <xf borderId="0" fillId="3" fontId="8" numFmtId="0" xfId="0" applyAlignment="1" applyFont="1">
      <alignment horizontal="center" readingOrder="0"/>
    </xf>
    <xf borderId="0" fillId="0" fontId="11" numFmtId="49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'Stephan Bolt'!$A$13:$A$27</c:f>
            </c:strRef>
          </c:cat>
          <c:val>
            <c:numRef>
              <c:f>'Stephan Bolt'!$B$13:$B$27</c:f>
              <c:numCache/>
            </c:numRef>
          </c:val>
          <c:smooth val="0"/>
        </c:ser>
        <c:axId val="619378709"/>
        <c:axId val="1744635334"/>
      </c:lineChart>
      <c:catAx>
        <c:axId val="619378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in 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4635334"/>
      </c:catAx>
      <c:valAx>
        <c:axId val="1744635334"/>
        <c:scaling>
          <c:orientation val="minMax"/>
          <c:max val="37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 in 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9378709"/>
      </c:valAx>
    </c:plotArea>
    <c:legend>
      <c:legendPos val="t"/>
      <c:layout>
        <c:manualLayout>
          <c:xMode val="edge"/>
          <c:yMode val="edge"/>
          <c:x val="0.4079758664394947"/>
          <c:y val="0.05136612021857924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276225</xdr:colOff>
      <xdr:row>4</xdr:row>
      <xdr:rowOff>152400</xdr:rowOff>
    </xdr:from>
    <xdr:ext cx="4076700" cy="3695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933450</xdr:colOff>
      <xdr:row>2</xdr:row>
      <xdr:rowOff>104775</xdr:rowOff>
    </xdr:from>
    <xdr:ext cx="7162800" cy="6972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914400</xdr:colOff>
      <xdr:row>0</xdr:row>
      <xdr:rowOff>0</xdr:rowOff>
    </xdr:from>
    <xdr:ext cx="4076700" cy="3695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0</xdr:row>
      <xdr:rowOff>0</xdr:rowOff>
    </xdr:from>
    <xdr:ext cx="3638550" cy="33051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4076700" cy="3695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4076700" cy="3695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4076700" cy="3695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4076700" cy="3695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mhtl.uwaterloo.ca/old/onlinetools/airprop/airprop.html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mhtl.uwaterloo.ca/old/onlinetools/airprop/airprop.html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www.mhtl.uwaterloo.ca/old/onlinetools/airprop/airprop.html" TargetMode="External"/><Relationship Id="rId2" Type="http://schemas.openxmlformats.org/officeDocument/2006/relationships/hyperlink" Target="https://checalc.com/solved/LMTD_Chart.html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gr.pr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15.63"/>
  </cols>
  <sheetData>
    <row r="1">
      <c r="A1" s="2" t="s">
        <v>1</v>
      </c>
      <c r="B1" s="3">
        <v>0.004</v>
      </c>
    </row>
    <row r="2">
      <c r="A2" s="2" t="s">
        <v>2</v>
      </c>
      <c r="B2" s="3">
        <v>376.812</v>
      </c>
    </row>
    <row r="3">
      <c r="A3" s="4" t="s">
        <v>3</v>
      </c>
      <c r="B3" s="5" t="s">
        <v>4</v>
      </c>
      <c r="C3" s="6" t="s">
        <v>5</v>
      </c>
    </row>
    <row r="4">
      <c r="A4" s="7" t="s">
        <v>6</v>
      </c>
      <c r="B4" s="8">
        <v>70.5</v>
      </c>
      <c r="C4" s="9"/>
    </row>
    <row r="5">
      <c r="A5" s="7" t="s">
        <v>7</v>
      </c>
      <c r="B5" s="8">
        <v>70.5</v>
      </c>
      <c r="C5" s="9"/>
    </row>
    <row r="6">
      <c r="A6" s="7" t="s">
        <v>8</v>
      </c>
      <c r="B6" s="8">
        <v>70.5</v>
      </c>
      <c r="C6" s="9"/>
    </row>
    <row r="7">
      <c r="A7" s="7" t="s">
        <v>9</v>
      </c>
      <c r="B7" s="8">
        <v>69.7</v>
      </c>
      <c r="C7" s="9"/>
    </row>
    <row r="8">
      <c r="A8" s="10" t="s">
        <v>10</v>
      </c>
      <c r="B8" s="11">
        <f>AVERAGE(B4:B7)</f>
        <v>70.3</v>
      </c>
      <c r="C8" s="12">
        <f>B8+273</f>
        <v>343.3</v>
      </c>
    </row>
    <row r="9">
      <c r="A9" s="2"/>
      <c r="B9" s="13"/>
      <c r="C9" s="14"/>
    </row>
    <row r="10">
      <c r="A10" s="2" t="s">
        <v>11</v>
      </c>
      <c r="B10" s="15">
        <v>35.3</v>
      </c>
      <c r="C10" s="16">
        <f>B10+273</f>
        <v>308.3</v>
      </c>
    </row>
    <row r="12">
      <c r="A12" s="4" t="s">
        <v>12</v>
      </c>
      <c r="B12" s="4" t="s">
        <v>13</v>
      </c>
    </row>
    <row r="13">
      <c r="A13" s="17">
        <v>0.0</v>
      </c>
      <c r="B13" s="18">
        <f>B10</f>
        <v>35.3</v>
      </c>
    </row>
    <row r="14">
      <c r="A14" s="17">
        <v>5.0</v>
      </c>
      <c r="B14" s="17">
        <v>35.7</v>
      </c>
    </row>
    <row r="15">
      <c r="A15" s="17">
        <v>10.0</v>
      </c>
      <c r="B15" s="17">
        <v>35.8</v>
      </c>
    </row>
    <row r="16">
      <c r="A16" s="17">
        <v>15.0</v>
      </c>
      <c r="B16" s="17">
        <v>35.9</v>
      </c>
    </row>
    <row r="17">
      <c r="A17" s="17">
        <v>20.0</v>
      </c>
      <c r="B17" s="17">
        <v>36.0</v>
      </c>
    </row>
    <row r="18">
      <c r="A18" s="17">
        <v>25.0</v>
      </c>
      <c r="B18" s="17">
        <v>36.2</v>
      </c>
    </row>
    <row r="19">
      <c r="A19" s="17">
        <v>30.0</v>
      </c>
      <c r="B19" s="17">
        <v>36.3</v>
      </c>
    </row>
    <row r="20">
      <c r="A20" s="17">
        <v>35.0</v>
      </c>
      <c r="B20" s="17">
        <v>36.4</v>
      </c>
    </row>
    <row r="21">
      <c r="A21" s="17">
        <v>40.0</v>
      </c>
      <c r="B21" s="17">
        <v>36.5</v>
      </c>
    </row>
    <row r="22">
      <c r="A22" s="17">
        <v>45.0</v>
      </c>
      <c r="B22" s="17">
        <v>36.6</v>
      </c>
    </row>
    <row r="23">
      <c r="A23" s="17">
        <v>50.0</v>
      </c>
      <c r="B23" s="17">
        <v>36.7</v>
      </c>
    </row>
    <row r="24">
      <c r="A24" s="17">
        <v>55.0</v>
      </c>
      <c r="B24" s="17">
        <v>36.8</v>
      </c>
    </row>
    <row r="25">
      <c r="A25" s="17">
        <v>60.0</v>
      </c>
      <c r="B25" s="17">
        <v>36.9</v>
      </c>
    </row>
    <row r="26">
      <c r="A26" s="17">
        <v>65.0</v>
      </c>
      <c r="B26" s="17">
        <v>37.0</v>
      </c>
    </row>
    <row r="27">
      <c r="A27" s="17">
        <v>70.0</v>
      </c>
      <c r="B27" s="17">
        <v>37.1</v>
      </c>
    </row>
    <row r="29">
      <c r="A29" s="2"/>
      <c r="B29" s="2"/>
    </row>
    <row r="30">
      <c r="A30" s="2"/>
      <c r="B30" s="2"/>
    </row>
    <row r="31">
      <c r="A31" s="2" t="s">
        <v>14</v>
      </c>
      <c r="B31" s="19">
        <f>slope(B12:B14,A12:A14)</f>
        <v>0.08</v>
      </c>
    </row>
    <row r="32">
      <c r="A32" s="2" t="s">
        <v>15</v>
      </c>
      <c r="B32" s="19">
        <v>0.025</v>
      </c>
    </row>
    <row r="33">
      <c r="A33" s="2" t="s">
        <v>16</v>
      </c>
      <c r="B33" s="20">
        <f>PI()*B32*B32/4</f>
        <v>0.0004908738521</v>
      </c>
    </row>
    <row r="34">
      <c r="A34" s="2" t="s">
        <v>17</v>
      </c>
      <c r="B34" s="21">
        <f>(B1*B2*B31)/(B33*((C8^4)-(C10^4)))</f>
        <v>0.00000005059088915</v>
      </c>
    </row>
  </sheetData>
  <mergeCells count="4">
    <mergeCell ref="B4:C4"/>
    <mergeCell ref="B5:C5"/>
    <mergeCell ref="B6:C6"/>
    <mergeCell ref="B7:C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9.13"/>
    <col customWidth="1" min="3" max="4" width="7.88"/>
    <col customWidth="1" min="5" max="6" width="8.13"/>
    <col customWidth="1" min="7" max="7" width="6.13"/>
    <col customWidth="1" min="8" max="8" width="5.5"/>
    <col customWidth="1" min="9" max="9" width="7.5"/>
    <col customWidth="1" min="10" max="10" width="9.13"/>
    <col customWidth="1" min="11" max="11" width="9.75"/>
    <col customWidth="1" min="12" max="12" width="10.0"/>
    <col customWidth="1" min="13" max="13" width="10.75"/>
    <col customWidth="1" min="14" max="15" width="8.75"/>
    <col customWidth="1" min="16" max="16" width="9.25"/>
    <col customWidth="1" min="17" max="18" width="8.5"/>
    <col customWidth="1" min="19" max="19" width="8.63"/>
    <col customWidth="1" min="20" max="20" width="10.63"/>
    <col customWidth="1" min="21" max="21" width="11.13"/>
    <col customWidth="1" min="22" max="22" width="12.25"/>
    <col customWidth="1" min="23" max="23" width="10.63"/>
    <col customWidth="1" min="24" max="24" width="10.75"/>
    <col customWidth="1" min="25" max="25" width="10.0"/>
    <col customWidth="1" min="26" max="26" width="8.38"/>
  </cols>
  <sheetData>
    <row r="1">
      <c r="A1" s="22" t="s">
        <v>18</v>
      </c>
      <c r="B1" s="23">
        <v>0.0125</v>
      </c>
      <c r="C1" s="22"/>
      <c r="D1" s="24" t="s">
        <v>19</v>
      </c>
      <c r="E1" s="25" t="s">
        <v>20</v>
      </c>
      <c r="F1" s="26"/>
      <c r="G1" s="27"/>
      <c r="H1" s="27"/>
      <c r="I1" s="27"/>
      <c r="J1" s="28"/>
      <c r="K1" s="28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</row>
    <row r="2" ht="26.25" customHeight="1">
      <c r="A2" s="29" t="s">
        <v>21</v>
      </c>
      <c r="B2" s="23">
        <v>1.5</v>
      </c>
      <c r="C2" s="22"/>
      <c r="D2" s="27"/>
      <c r="E2" s="27"/>
      <c r="F2" s="27"/>
      <c r="G2" s="27"/>
      <c r="H2" s="27"/>
      <c r="I2" s="27"/>
      <c r="J2" s="28"/>
      <c r="K2" s="28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</row>
    <row r="3" ht="23.25" customHeight="1">
      <c r="A3" s="22" t="s">
        <v>22</v>
      </c>
      <c r="B3" s="30">
        <f>PI()*B1*B2</f>
        <v>0.05890486225</v>
      </c>
      <c r="C3" s="31"/>
      <c r="D3" s="27"/>
      <c r="E3" s="27"/>
      <c r="F3" s="27"/>
      <c r="G3" s="27"/>
      <c r="H3" s="27"/>
      <c r="I3" s="27"/>
      <c r="J3" s="28"/>
      <c r="K3" s="28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</row>
    <row r="4" ht="23.25" customHeight="1">
      <c r="A4" s="32"/>
      <c r="B4" s="33"/>
      <c r="C4" s="33"/>
      <c r="D4" s="32"/>
      <c r="E4" s="32"/>
      <c r="F4" s="32"/>
      <c r="G4" s="32"/>
      <c r="H4" s="32"/>
      <c r="I4" s="32"/>
      <c r="J4" s="34" t="s">
        <v>23</v>
      </c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23.25" customHeight="1">
      <c r="A5" s="27" t="s">
        <v>24</v>
      </c>
      <c r="B5" s="35" t="s">
        <v>25</v>
      </c>
      <c r="C5" s="35" t="s">
        <v>26</v>
      </c>
      <c r="D5" s="27" t="s">
        <v>27</v>
      </c>
      <c r="E5" s="27" t="s">
        <v>28</v>
      </c>
      <c r="F5" s="27" t="s">
        <v>26</v>
      </c>
      <c r="G5" s="32" t="s">
        <v>29</v>
      </c>
      <c r="J5" s="34" t="s">
        <v>30</v>
      </c>
      <c r="L5" s="34" t="s">
        <v>31</v>
      </c>
      <c r="N5" s="32" t="s">
        <v>32</v>
      </c>
      <c r="Q5" s="32" t="s">
        <v>33</v>
      </c>
      <c r="T5" s="32" t="s">
        <v>34</v>
      </c>
      <c r="W5" s="27" t="s">
        <v>35</v>
      </c>
      <c r="X5" s="32" t="s">
        <v>36</v>
      </c>
      <c r="Y5" s="32" t="s">
        <v>37</v>
      </c>
      <c r="Z5" s="27" t="s">
        <v>38</v>
      </c>
    </row>
    <row r="6" ht="93.0" customHeight="1">
      <c r="G6" s="36" t="s">
        <v>39</v>
      </c>
      <c r="H6" s="36" t="s">
        <v>40</v>
      </c>
      <c r="I6" s="27" t="s">
        <v>29</v>
      </c>
      <c r="J6" s="37" t="s">
        <v>41</v>
      </c>
      <c r="K6" s="37" t="s">
        <v>42</v>
      </c>
      <c r="L6" s="37" t="s">
        <v>41</v>
      </c>
      <c r="M6" s="37" t="s">
        <v>43</v>
      </c>
      <c r="N6" s="27" t="s">
        <v>44</v>
      </c>
      <c r="O6" s="27" t="s">
        <v>45</v>
      </c>
      <c r="P6" s="27" t="s">
        <v>46</v>
      </c>
      <c r="Q6" s="27" t="s">
        <v>44</v>
      </c>
      <c r="R6" s="27" t="s">
        <v>45</v>
      </c>
      <c r="S6" s="27" t="s">
        <v>46</v>
      </c>
      <c r="T6" s="27" t="s">
        <v>47</v>
      </c>
      <c r="U6" s="27" t="s">
        <v>48</v>
      </c>
      <c r="V6" s="27" t="s">
        <v>26</v>
      </c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</row>
    <row r="7">
      <c r="A7" s="38">
        <v>81.6</v>
      </c>
      <c r="B7" s="38">
        <v>63.0</v>
      </c>
      <c r="C7" s="39">
        <f t="shared" ref="C7:C12" si="2">AVERAGE(A7:B7)</f>
        <v>72.3</v>
      </c>
      <c r="D7" s="38">
        <v>32.5</v>
      </c>
      <c r="E7" s="38">
        <v>48.0</v>
      </c>
      <c r="F7" s="39">
        <f t="shared" ref="F7:F12" si="3">AVERAGE(D7:E7)</f>
        <v>40.25</v>
      </c>
      <c r="G7" s="40">
        <f t="shared" ref="G7:H7" si="1">A7-D7</f>
        <v>49.1</v>
      </c>
      <c r="H7" s="40">
        <f t="shared" si="1"/>
        <v>15</v>
      </c>
      <c r="I7" s="40">
        <f t="shared" ref="I7:I12" si="5">(G7-H7)/(ln(G7/H7))</f>
        <v>28.7567431</v>
      </c>
      <c r="J7" s="41">
        <v>1000.0</v>
      </c>
      <c r="K7" s="41">
        <v>4178.0</v>
      </c>
      <c r="L7" s="41">
        <v>1000.0</v>
      </c>
      <c r="M7" s="41">
        <v>4178.0</v>
      </c>
      <c r="N7" s="38">
        <v>8.0</v>
      </c>
      <c r="O7" s="42">
        <v>1.0E-4</v>
      </c>
      <c r="P7" s="43">
        <f t="shared" ref="P7:P12" si="6">O7/N7*J7</f>
        <v>0.0125</v>
      </c>
      <c r="Q7" s="38">
        <v>8.0</v>
      </c>
      <c r="R7" s="42">
        <v>1.0E-4</v>
      </c>
      <c r="S7" s="43">
        <f t="shared" ref="S7:S12" si="7">R7/Q7*L7</f>
        <v>0.0125</v>
      </c>
      <c r="T7" s="43">
        <f t="shared" ref="T7:T12" si="8">P7*K7*(A7-B7)</f>
        <v>971.385</v>
      </c>
      <c r="U7" s="43">
        <f t="shared" ref="U7:U12" si="9">-S7*M7*(D7-E7)</f>
        <v>809.4875</v>
      </c>
      <c r="V7" s="43">
        <f t="shared" ref="V7:V12" si="10">AVERAGE(T7:U7)</f>
        <v>890.43625</v>
      </c>
      <c r="W7" s="21">
        <f t="shared" ref="W7:W12" si="11">V7/(B$3*I7)</f>
        <v>525.6685439</v>
      </c>
      <c r="X7" s="43">
        <f t="shared" ref="X7:X12" si="12">min((P7*K7),(S7*M7))</f>
        <v>52.225</v>
      </c>
      <c r="Y7" s="43">
        <f t="shared" ref="Y7:Y12" si="13">X7*(A7-D7)</f>
        <v>2564.2475</v>
      </c>
      <c r="Z7" s="44">
        <f t="shared" ref="Z7:Z12" si="14">V7/Y7*100</f>
        <v>34.72505092</v>
      </c>
    </row>
    <row r="8">
      <c r="A8" s="38">
        <v>71.2</v>
      </c>
      <c r="B8" s="38">
        <v>58.4</v>
      </c>
      <c r="C8" s="39">
        <f t="shared" si="2"/>
        <v>64.8</v>
      </c>
      <c r="D8" s="38">
        <v>32.4</v>
      </c>
      <c r="E8" s="38">
        <v>44.5</v>
      </c>
      <c r="F8" s="39">
        <f t="shared" si="3"/>
        <v>38.45</v>
      </c>
      <c r="G8" s="40">
        <f t="shared" ref="G8:H8" si="4">A8-D8</f>
        <v>38.8</v>
      </c>
      <c r="H8" s="40">
        <f t="shared" si="4"/>
        <v>13.9</v>
      </c>
      <c r="I8" s="40">
        <f t="shared" si="5"/>
        <v>24.25644246</v>
      </c>
      <c r="J8" s="41">
        <v>1000.0</v>
      </c>
      <c r="K8" s="41">
        <v>4178.0</v>
      </c>
      <c r="L8" s="41">
        <v>1000.0</v>
      </c>
      <c r="M8" s="41">
        <v>4178.0</v>
      </c>
      <c r="N8" s="38">
        <v>6.9</v>
      </c>
      <c r="O8" s="42">
        <v>1.0E-4</v>
      </c>
      <c r="P8" s="43">
        <f t="shared" si="6"/>
        <v>0.01449275362</v>
      </c>
      <c r="Q8" s="38">
        <v>6.9</v>
      </c>
      <c r="R8" s="42">
        <v>1.0E-4</v>
      </c>
      <c r="S8" s="43">
        <f t="shared" si="7"/>
        <v>0.01449275362</v>
      </c>
      <c r="T8" s="43">
        <f t="shared" si="8"/>
        <v>775.0492754</v>
      </c>
      <c r="U8" s="43">
        <f t="shared" si="9"/>
        <v>732.6637681</v>
      </c>
      <c r="V8" s="43">
        <f t="shared" si="10"/>
        <v>753.8565217</v>
      </c>
      <c r="W8" s="21">
        <f t="shared" si="11"/>
        <v>527.6068744</v>
      </c>
      <c r="X8" s="43">
        <f t="shared" si="12"/>
        <v>60.55072464</v>
      </c>
      <c r="Y8" s="43">
        <f t="shared" si="13"/>
        <v>2349.368116</v>
      </c>
      <c r="Z8" s="44">
        <f t="shared" si="14"/>
        <v>32.08762887</v>
      </c>
    </row>
    <row r="9">
      <c r="A9" s="38">
        <v>74.7</v>
      </c>
      <c r="B9" s="38">
        <v>60.5</v>
      </c>
      <c r="C9" s="39">
        <f t="shared" si="2"/>
        <v>67.6</v>
      </c>
      <c r="D9" s="38">
        <v>32.7</v>
      </c>
      <c r="E9" s="38">
        <v>46.0</v>
      </c>
      <c r="F9" s="39">
        <f t="shared" si="3"/>
        <v>39.35</v>
      </c>
      <c r="G9" s="40">
        <f t="shared" ref="G9:H9" si="15">A9-D9</f>
        <v>42</v>
      </c>
      <c r="H9" s="40">
        <f t="shared" si="15"/>
        <v>14.5</v>
      </c>
      <c r="I9" s="40">
        <f t="shared" si="5"/>
        <v>25.85750616</v>
      </c>
      <c r="J9" s="41">
        <v>1000.0</v>
      </c>
      <c r="K9" s="41">
        <v>4178.0</v>
      </c>
      <c r="L9" s="41">
        <v>1000.0</v>
      </c>
      <c r="M9" s="41">
        <v>4178.0</v>
      </c>
      <c r="N9" s="38">
        <v>7.7</v>
      </c>
      <c r="O9" s="42">
        <v>1.0E-4</v>
      </c>
      <c r="P9" s="43">
        <f t="shared" si="6"/>
        <v>0.01298701299</v>
      </c>
      <c r="Q9" s="38">
        <v>7.34</v>
      </c>
      <c r="R9" s="42">
        <v>1.0E-4</v>
      </c>
      <c r="S9" s="43">
        <f t="shared" si="7"/>
        <v>0.0136239782</v>
      </c>
      <c r="T9" s="43">
        <f t="shared" si="8"/>
        <v>770.4883117</v>
      </c>
      <c r="U9" s="43">
        <f t="shared" si="9"/>
        <v>757.0490463</v>
      </c>
      <c r="V9" s="43">
        <f t="shared" si="10"/>
        <v>763.768679</v>
      </c>
      <c r="W9" s="21">
        <f t="shared" si="11"/>
        <v>501.4458751</v>
      </c>
      <c r="X9" s="43">
        <f t="shared" si="12"/>
        <v>54.25974026</v>
      </c>
      <c r="Y9" s="43">
        <f t="shared" si="13"/>
        <v>2278.909091</v>
      </c>
      <c r="Z9" s="44">
        <f t="shared" si="14"/>
        <v>33.514662</v>
      </c>
    </row>
    <row r="10">
      <c r="A10" s="45">
        <v>60.5</v>
      </c>
      <c r="B10" s="45">
        <v>53.0</v>
      </c>
      <c r="C10" s="46">
        <f t="shared" si="2"/>
        <v>56.75</v>
      </c>
      <c r="D10" s="45">
        <v>32.6</v>
      </c>
      <c r="E10" s="45">
        <v>40.8</v>
      </c>
      <c r="F10" s="46">
        <f t="shared" si="3"/>
        <v>36.7</v>
      </c>
      <c r="G10" s="47">
        <f t="shared" ref="G10:H10" si="16">A10-D10</f>
        <v>27.9</v>
      </c>
      <c r="H10" s="47">
        <f t="shared" si="16"/>
        <v>12.2</v>
      </c>
      <c r="I10" s="47">
        <f t="shared" si="5"/>
        <v>18.97990306</v>
      </c>
      <c r="J10" s="41">
        <v>1000.0</v>
      </c>
      <c r="K10" s="41">
        <v>4178.0</v>
      </c>
      <c r="L10" s="41">
        <v>1000.0</v>
      </c>
      <c r="M10" s="41">
        <v>4178.0</v>
      </c>
      <c r="N10" s="45">
        <v>4.9</v>
      </c>
      <c r="O10" s="48">
        <v>1.0E-4</v>
      </c>
      <c r="P10" s="49">
        <f t="shared" si="6"/>
        <v>0.02040816327</v>
      </c>
      <c r="Q10" s="45">
        <v>5.4</v>
      </c>
      <c r="R10" s="48">
        <v>1.0E-4</v>
      </c>
      <c r="S10" s="49">
        <f t="shared" si="7"/>
        <v>0.01851851852</v>
      </c>
      <c r="T10" s="49">
        <f t="shared" si="8"/>
        <v>639.4897959</v>
      </c>
      <c r="U10" s="43">
        <f t="shared" si="9"/>
        <v>634.437037</v>
      </c>
      <c r="V10" s="49">
        <f t="shared" si="10"/>
        <v>636.9634165</v>
      </c>
      <c r="W10" s="50">
        <f t="shared" si="11"/>
        <v>569.7303497</v>
      </c>
      <c r="X10" s="49">
        <f t="shared" si="12"/>
        <v>77.37037037</v>
      </c>
      <c r="Y10" s="49">
        <f t="shared" si="13"/>
        <v>2158.633333</v>
      </c>
      <c r="Z10" s="44">
        <f t="shared" si="14"/>
        <v>29.50771707</v>
      </c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</row>
    <row r="11">
      <c r="A11" s="52">
        <v>60.5</v>
      </c>
      <c r="B11" s="52">
        <v>53.0</v>
      </c>
      <c r="C11" s="47">
        <f t="shared" si="2"/>
        <v>56.75</v>
      </c>
      <c r="D11" s="52">
        <v>32.6</v>
      </c>
      <c r="E11" s="52">
        <v>40.8</v>
      </c>
      <c r="F11" s="47">
        <f t="shared" si="3"/>
        <v>36.7</v>
      </c>
      <c r="G11" s="47">
        <f t="shared" ref="G11:H11" si="17">A11-D11</f>
        <v>27.9</v>
      </c>
      <c r="H11" s="47">
        <f t="shared" si="17"/>
        <v>12.2</v>
      </c>
      <c r="I11" s="47">
        <f t="shared" si="5"/>
        <v>18.97990306</v>
      </c>
      <c r="J11" s="41">
        <v>1000.0</v>
      </c>
      <c r="K11" s="41">
        <v>4178.0</v>
      </c>
      <c r="L11" s="41">
        <v>1000.0</v>
      </c>
      <c r="M11" s="41">
        <v>4178.0</v>
      </c>
      <c r="N11" s="52">
        <v>4.9</v>
      </c>
      <c r="O11" s="48">
        <v>1.0E-4</v>
      </c>
      <c r="P11" s="49">
        <f t="shared" si="6"/>
        <v>0.02040816327</v>
      </c>
      <c r="Q11" s="52">
        <v>5.4</v>
      </c>
      <c r="R11" s="48">
        <v>1.0E-4</v>
      </c>
      <c r="S11" s="49">
        <f t="shared" si="7"/>
        <v>0.01851851852</v>
      </c>
      <c r="T11" s="49">
        <f t="shared" si="8"/>
        <v>639.4897959</v>
      </c>
      <c r="U11" s="43">
        <f t="shared" si="9"/>
        <v>634.437037</v>
      </c>
      <c r="V11" s="49">
        <f t="shared" si="10"/>
        <v>636.9634165</v>
      </c>
      <c r="W11" s="50">
        <f t="shared" si="11"/>
        <v>569.7303497</v>
      </c>
      <c r="X11" s="49">
        <f t="shared" si="12"/>
        <v>77.37037037</v>
      </c>
      <c r="Y11" s="49">
        <f t="shared" si="13"/>
        <v>2158.633333</v>
      </c>
      <c r="Z11" s="44">
        <f t="shared" si="14"/>
        <v>29.50771707</v>
      </c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</row>
    <row r="12">
      <c r="A12" s="52">
        <v>60.5</v>
      </c>
      <c r="B12" s="52">
        <v>53.0</v>
      </c>
      <c r="C12" s="47">
        <f t="shared" si="2"/>
        <v>56.75</v>
      </c>
      <c r="D12" s="52">
        <v>32.6</v>
      </c>
      <c r="E12" s="52">
        <v>40.8</v>
      </c>
      <c r="F12" s="47">
        <f t="shared" si="3"/>
        <v>36.7</v>
      </c>
      <c r="G12" s="47">
        <f t="shared" ref="G12:H12" si="18">A12-D12</f>
        <v>27.9</v>
      </c>
      <c r="H12" s="47">
        <f t="shared" si="18"/>
        <v>12.2</v>
      </c>
      <c r="I12" s="47">
        <f t="shared" si="5"/>
        <v>18.97990306</v>
      </c>
      <c r="J12" s="41">
        <v>1000.0</v>
      </c>
      <c r="K12" s="41">
        <v>4178.0</v>
      </c>
      <c r="L12" s="41">
        <v>1000.0</v>
      </c>
      <c r="M12" s="41">
        <v>4178.0</v>
      </c>
      <c r="N12" s="52">
        <v>4.9</v>
      </c>
      <c r="O12" s="48">
        <v>1.0E-4</v>
      </c>
      <c r="P12" s="49">
        <f t="shared" si="6"/>
        <v>0.02040816327</v>
      </c>
      <c r="Q12" s="52">
        <v>5.4</v>
      </c>
      <c r="R12" s="48">
        <v>1.0E-4</v>
      </c>
      <c r="S12" s="49">
        <f t="shared" si="7"/>
        <v>0.01851851852</v>
      </c>
      <c r="T12" s="49">
        <f t="shared" si="8"/>
        <v>639.4897959</v>
      </c>
      <c r="U12" s="43">
        <f t="shared" si="9"/>
        <v>634.437037</v>
      </c>
      <c r="V12" s="49">
        <f t="shared" si="10"/>
        <v>636.9634165</v>
      </c>
      <c r="W12" s="50">
        <f t="shared" si="11"/>
        <v>569.7303497</v>
      </c>
      <c r="X12" s="49">
        <f t="shared" si="12"/>
        <v>77.37037037</v>
      </c>
      <c r="Y12" s="49">
        <f t="shared" si="13"/>
        <v>2158.633333</v>
      </c>
      <c r="Z12" s="44">
        <f t="shared" si="14"/>
        <v>29.50771707</v>
      </c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</row>
  </sheetData>
  <mergeCells count="17">
    <mergeCell ref="J4:M4"/>
    <mergeCell ref="A5:A6"/>
    <mergeCell ref="B5:B6"/>
    <mergeCell ref="C5:C6"/>
    <mergeCell ref="D5:D6"/>
    <mergeCell ref="E5:E6"/>
    <mergeCell ref="F5:F6"/>
    <mergeCell ref="L5:M5"/>
    <mergeCell ref="Y5:Y6"/>
    <mergeCell ref="Z5:Z6"/>
    <mergeCell ref="G5:I5"/>
    <mergeCell ref="J5:K5"/>
    <mergeCell ref="N5:P5"/>
    <mergeCell ref="Q5:S5"/>
    <mergeCell ref="T5:V5"/>
    <mergeCell ref="W5:W6"/>
    <mergeCell ref="X5:X6"/>
  </mergeCells>
  <hyperlinks>
    <hyperlink r:id="rId1" ref="E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9.13"/>
    <col customWidth="1" min="3" max="4" width="7.88"/>
    <col customWidth="1" min="5" max="6" width="8.13"/>
    <col customWidth="1" min="7" max="7" width="6.13"/>
    <col customWidth="1" min="8" max="8" width="5.5"/>
    <col customWidth="1" min="9" max="9" width="7.5"/>
    <col customWidth="1" min="10" max="10" width="9.13"/>
    <col customWidth="1" min="11" max="11" width="9.75"/>
    <col customWidth="1" min="12" max="12" width="10.0"/>
    <col customWidth="1" min="13" max="13" width="10.75"/>
    <col customWidth="1" min="14" max="15" width="8.75"/>
    <col customWidth="1" min="16" max="16" width="9.25"/>
    <col customWidth="1" min="17" max="18" width="8.5"/>
    <col customWidth="1" min="19" max="19" width="8.63"/>
    <col customWidth="1" min="20" max="20" width="10.63"/>
    <col customWidth="1" min="21" max="21" width="11.13"/>
    <col customWidth="1" min="22" max="22" width="12.25"/>
    <col customWidth="1" min="23" max="23" width="10.63"/>
    <col customWidth="1" min="24" max="24" width="10.75"/>
    <col customWidth="1" min="25" max="25" width="10.0"/>
    <col customWidth="1" min="26" max="26" width="8.38"/>
  </cols>
  <sheetData>
    <row r="1">
      <c r="A1" s="22" t="s">
        <v>18</v>
      </c>
      <c r="B1" s="23">
        <v>0.0125</v>
      </c>
      <c r="C1" s="22"/>
      <c r="D1" s="24" t="s">
        <v>19</v>
      </c>
      <c r="E1" s="25" t="s">
        <v>20</v>
      </c>
      <c r="F1" s="26"/>
      <c r="G1" s="27"/>
      <c r="H1" s="27"/>
      <c r="I1" s="27"/>
      <c r="J1" s="28"/>
      <c r="K1" s="28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</row>
    <row r="2" ht="26.25" customHeight="1">
      <c r="A2" s="29" t="s">
        <v>21</v>
      </c>
      <c r="B2" s="23">
        <v>1.5</v>
      </c>
      <c r="C2" s="22"/>
      <c r="D2" s="27"/>
      <c r="E2" s="27"/>
      <c r="F2" s="27"/>
      <c r="G2" s="27"/>
      <c r="H2" s="27"/>
      <c r="I2" s="27"/>
      <c r="J2" s="28"/>
      <c r="K2" s="28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</row>
    <row r="3" ht="23.25" customHeight="1">
      <c r="A3" s="22" t="s">
        <v>22</v>
      </c>
      <c r="B3" s="30">
        <f>PI()*B1*B2</f>
        <v>0.05890486225</v>
      </c>
      <c r="C3" s="31"/>
      <c r="D3" s="27"/>
      <c r="E3" s="27"/>
      <c r="F3" s="27"/>
      <c r="G3" s="27"/>
      <c r="H3" s="27"/>
      <c r="I3" s="27"/>
      <c r="J3" s="28"/>
      <c r="K3" s="28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</row>
    <row r="4" ht="23.25" customHeight="1">
      <c r="A4" s="32"/>
      <c r="B4" s="33"/>
      <c r="C4" s="33"/>
      <c r="D4" s="32"/>
      <c r="E4" s="32"/>
      <c r="F4" s="32"/>
      <c r="G4" s="32"/>
      <c r="H4" s="32"/>
      <c r="I4" s="32"/>
      <c r="J4" s="34" t="s">
        <v>23</v>
      </c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23.25" customHeight="1">
      <c r="A5" s="27" t="s">
        <v>24</v>
      </c>
      <c r="B5" s="35" t="s">
        <v>25</v>
      </c>
      <c r="C5" s="35" t="s">
        <v>26</v>
      </c>
      <c r="D5" s="27" t="s">
        <v>27</v>
      </c>
      <c r="E5" s="27" t="s">
        <v>28</v>
      </c>
      <c r="F5" s="27" t="s">
        <v>26</v>
      </c>
      <c r="G5" s="32" t="s">
        <v>29</v>
      </c>
      <c r="J5" s="34" t="s">
        <v>30</v>
      </c>
      <c r="L5" s="34" t="s">
        <v>31</v>
      </c>
      <c r="N5" s="32" t="s">
        <v>32</v>
      </c>
      <c r="Q5" s="32" t="s">
        <v>33</v>
      </c>
      <c r="T5" s="32" t="s">
        <v>34</v>
      </c>
      <c r="W5" s="27" t="s">
        <v>35</v>
      </c>
      <c r="X5" s="32" t="s">
        <v>36</v>
      </c>
      <c r="Y5" s="32" t="s">
        <v>37</v>
      </c>
      <c r="Z5" s="27" t="s">
        <v>38</v>
      </c>
    </row>
    <row r="6" ht="93.0" customHeight="1">
      <c r="G6" s="36" t="s">
        <v>39</v>
      </c>
      <c r="H6" s="36" t="s">
        <v>40</v>
      </c>
      <c r="I6" s="27" t="s">
        <v>29</v>
      </c>
      <c r="J6" s="37" t="s">
        <v>41</v>
      </c>
      <c r="K6" s="37" t="s">
        <v>42</v>
      </c>
      <c r="L6" s="37" t="s">
        <v>41</v>
      </c>
      <c r="M6" s="37" t="s">
        <v>43</v>
      </c>
      <c r="N6" s="27" t="s">
        <v>44</v>
      </c>
      <c r="O6" s="27" t="s">
        <v>45</v>
      </c>
      <c r="P6" s="27" t="s">
        <v>46</v>
      </c>
      <c r="Q6" s="27" t="s">
        <v>44</v>
      </c>
      <c r="R6" s="27" t="s">
        <v>45</v>
      </c>
      <c r="S6" s="27" t="s">
        <v>46</v>
      </c>
      <c r="T6" s="27" t="s">
        <v>47</v>
      </c>
      <c r="U6" s="27" t="s">
        <v>48</v>
      </c>
      <c r="V6" s="27" t="s">
        <v>26</v>
      </c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</row>
    <row r="7">
      <c r="A7" s="38">
        <v>73.7</v>
      </c>
      <c r="B7" s="38">
        <v>59.0</v>
      </c>
      <c r="C7" s="39">
        <f t="shared" ref="C7:C12" si="1">AVERAGE(A7:B7)</f>
        <v>66.35</v>
      </c>
      <c r="D7" s="38">
        <v>30.5</v>
      </c>
      <c r="E7" s="38">
        <v>45.9</v>
      </c>
      <c r="F7" s="39">
        <f t="shared" ref="F7:F12" si="2">AVERAGE(D7:E7)</f>
        <v>38.2</v>
      </c>
      <c r="G7" s="40">
        <f t="shared" ref="G7:G12" si="3">A7-E7</f>
        <v>27.8</v>
      </c>
      <c r="H7" s="40">
        <f t="shared" ref="H7:H12" si="4">B7-D7</f>
        <v>28.5</v>
      </c>
      <c r="I7" s="40">
        <f t="shared" ref="I7:I12" si="5">(G7-H7)/(ln(G7/H7))</f>
        <v>28.14854938</v>
      </c>
      <c r="J7" s="41">
        <v>1000.0</v>
      </c>
      <c r="K7" s="41">
        <v>4178.0</v>
      </c>
      <c r="L7" s="41">
        <v>1000.0</v>
      </c>
      <c r="M7" s="41">
        <v>4178.0</v>
      </c>
      <c r="N7" s="38">
        <v>15.3</v>
      </c>
      <c r="O7" s="42">
        <v>2.0E-4</v>
      </c>
      <c r="P7" s="43">
        <f t="shared" ref="P7:P12" si="6">O7/N7*J7</f>
        <v>0.01307189542</v>
      </c>
      <c r="Q7" s="38">
        <v>14.84</v>
      </c>
      <c r="R7" s="42">
        <v>2.0E-4</v>
      </c>
      <c r="S7" s="43">
        <f t="shared" ref="S7:S12" si="7">R7/Q7*L7</f>
        <v>0.01347708895</v>
      </c>
      <c r="T7" s="43">
        <f t="shared" ref="T7:T12" si="8">P7*K7*(A7-B7)</f>
        <v>802.8313725</v>
      </c>
      <c r="U7" s="43">
        <f t="shared" ref="U7:U12" si="9">-S7*M7*(D7-E7)</f>
        <v>867.1320755</v>
      </c>
      <c r="V7" s="43">
        <f t="shared" ref="V7:V12" si="10">AVERAGE(T7:U7)</f>
        <v>834.981724</v>
      </c>
      <c r="W7" s="21">
        <f t="shared" ref="W7:W12" si="11">V7/(B$3*I7)</f>
        <v>503.5815456</v>
      </c>
      <c r="X7" s="43">
        <f t="shared" ref="X7:X12" si="12">min((P7*K7),(S7*M7))</f>
        <v>54.61437908</v>
      </c>
      <c r="Y7" s="43">
        <f t="shared" ref="Y7:Y12" si="13">X7*(A7-D7)</f>
        <v>2359.341176</v>
      </c>
      <c r="Z7" s="44">
        <f t="shared" ref="Z7:Z12" si="14">V7/Y7*100</f>
        <v>35.39046122</v>
      </c>
    </row>
    <row r="8">
      <c r="A8" s="38">
        <v>69.9</v>
      </c>
      <c r="B8" s="38">
        <v>57.2</v>
      </c>
      <c r="C8" s="39">
        <f t="shared" si="1"/>
        <v>63.55</v>
      </c>
      <c r="D8" s="38">
        <v>30.8</v>
      </c>
      <c r="E8" s="38">
        <v>43.2</v>
      </c>
      <c r="F8" s="39">
        <f t="shared" si="2"/>
        <v>37</v>
      </c>
      <c r="G8" s="40">
        <f t="shared" si="3"/>
        <v>26.7</v>
      </c>
      <c r="H8" s="40">
        <f t="shared" si="4"/>
        <v>26.4</v>
      </c>
      <c r="I8" s="40">
        <f t="shared" si="5"/>
        <v>26.54971751</v>
      </c>
      <c r="J8" s="41">
        <v>1000.0</v>
      </c>
      <c r="K8" s="41">
        <v>4178.0</v>
      </c>
      <c r="L8" s="41">
        <v>1000.0</v>
      </c>
      <c r="M8" s="41">
        <v>4178.0</v>
      </c>
      <c r="N8" s="38">
        <v>13.4</v>
      </c>
      <c r="O8" s="42">
        <v>2.0E-4</v>
      </c>
      <c r="P8" s="43">
        <f t="shared" si="6"/>
        <v>0.01492537313</v>
      </c>
      <c r="Q8" s="38">
        <v>12.9</v>
      </c>
      <c r="R8" s="42">
        <v>2.0E-4</v>
      </c>
      <c r="S8" s="43">
        <f t="shared" si="7"/>
        <v>0.01550387597</v>
      </c>
      <c r="T8" s="43">
        <f t="shared" si="8"/>
        <v>791.9492537</v>
      </c>
      <c r="U8" s="43">
        <f t="shared" si="9"/>
        <v>803.2124031</v>
      </c>
      <c r="V8" s="43">
        <f t="shared" si="10"/>
        <v>797.5808284</v>
      </c>
      <c r="W8" s="21">
        <f t="shared" si="11"/>
        <v>509.9923444</v>
      </c>
      <c r="X8" s="43">
        <f t="shared" si="12"/>
        <v>62.35820896</v>
      </c>
      <c r="Y8" s="43">
        <f t="shared" si="13"/>
        <v>2438.20597</v>
      </c>
      <c r="Z8" s="44">
        <f t="shared" si="14"/>
        <v>32.71179048</v>
      </c>
    </row>
    <row r="9">
      <c r="A9" s="38">
        <v>58.2</v>
      </c>
      <c r="B9" s="38">
        <v>51.1</v>
      </c>
      <c r="C9" s="39">
        <f t="shared" si="1"/>
        <v>54.65</v>
      </c>
      <c r="D9" s="38">
        <v>31.5</v>
      </c>
      <c r="E9" s="38">
        <v>38.5</v>
      </c>
      <c r="F9" s="39">
        <f t="shared" si="2"/>
        <v>35</v>
      </c>
      <c r="G9" s="40">
        <f t="shared" si="3"/>
        <v>19.7</v>
      </c>
      <c r="H9" s="40">
        <f t="shared" si="4"/>
        <v>19.6</v>
      </c>
      <c r="I9" s="40">
        <f t="shared" si="5"/>
        <v>19.64995759</v>
      </c>
      <c r="J9" s="41">
        <v>1000.0</v>
      </c>
      <c r="K9" s="41">
        <v>4178.0</v>
      </c>
      <c r="L9" s="41">
        <v>1000.0</v>
      </c>
      <c r="M9" s="41">
        <v>4178.0</v>
      </c>
      <c r="N9" s="38">
        <v>9.46</v>
      </c>
      <c r="O9" s="42">
        <v>2.0E-4</v>
      </c>
      <c r="P9" s="43">
        <f t="shared" si="6"/>
        <v>0.02114164905</v>
      </c>
      <c r="Q9" s="38">
        <v>8.9</v>
      </c>
      <c r="R9" s="42">
        <v>2.0E-4</v>
      </c>
      <c r="S9" s="43">
        <f t="shared" si="7"/>
        <v>0.02247191011</v>
      </c>
      <c r="T9" s="43">
        <f t="shared" si="8"/>
        <v>627.141649</v>
      </c>
      <c r="U9" s="43">
        <f t="shared" si="9"/>
        <v>657.2134831</v>
      </c>
      <c r="V9" s="43">
        <f t="shared" si="10"/>
        <v>642.1775661</v>
      </c>
      <c r="W9" s="21">
        <f t="shared" si="11"/>
        <v>554.8075566</v>
      </c>
      <c r="X9" s="43">
        <f t="shared" si="12"/>
        <v>88.32980973</v>
      </c>
      <c r="Y9" s="43">
        <f t="shared" si="13"/>
        <v>2358.40592</v>
      </c>
      <c r="Z9" s="44">
        <f t="shared" si="14"/>
        <v>27.22930606</v>
      </c>
    </row>
    <row r="10">
      <c r="A10" s="45">
        <v>60.5</v>
      </c>
      <c r="B10" s="45">
        <v>53.0</v>
      </c>
      <c r="C10" s="46">
        <f t="shared" si="1"/>
        <v>56.75</v>
      </c>
      <c r="D10" s="45">
        <v>32.6</v>
      </c>
      <c r="E10" s="45">
        <v>40.8</v>
      </c>
      <c r="F10" s="46">
        <f t="shared" si="2"/>
        <v>36.7</v>
      </c>
      <c r="G10" s="40">
        <f t="shared" si="3"/>
        <v>19.7</v>
      </c>
      <c r="H10" s="40">
        <f t="shared" si="4"/>
        <v>20.4</v>
      </c>
      <c r="I10" s="47">
        <f t="shared" si="5"/>
        <v>20.04796326</v>
      </c>
      <c r="J10" s="41">
        <v>1000.0</v>
      </c>
      <c r="K10" s="41">
        <v>4178.0</v>
      </c>
      <c r="L10" s="41">
        <v>1000.0</v>
      </c>
      <c r="M10" s="41">
        <v>4178.0</v>
      </c>
      <c r="N10" s="45">
        <v>4.9</v>
      </c>
      <c r="O10" s="42">
        <v>2.0E-4</v>
      </c>
      <c r="P10" s="49">
        <f t="shared" si="6"/>
        <v>0.04081632653</v>
      </c>
      <c r="Q10" s="45">
        <v>5.4</v>
      </c>
      <c r="R10" s="42">
        <v>2.0E-4</v>
      </c>
      <c r="S10" s="49">
        <f t="shared" si="7"/>
        <v>0.03703703704</v>
      </c>
      <c r="T10" s="49">
        <f t="shared" si="8"/>
        <v>1278.979592</v>
      </c>
      <c r="U10" s="43">
        <f t="shared" si="9"/>
        <v>1268.874074</v>
      </c>
      <c r="V10" s="49">
        <f t="shared" si="10"/>
        <v>1273.926833</v>
      </c>
      <c r="W10" s="50">
        <f t="shared" si="11"/>
        <v>1078.755649</v>
      </c>
      <c r="X10" s="49">
        <f t="shared" si="12"/>
        <v>154.7407407</v>
      </c>
      <c r="Y10" s="49">
        <f t="shared" si="13"/>
        <v>4317.266667</v>
      </c>
      <c r="Z10" s="44">
        <f t="shared" si="14"/>
        <v>29.50771707</v>
      </c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</row>
    <row r="11">
      <c r="A11" s="52">
        <v>60.5</v>
      </c>
      <c r="B11" s="52">
        <v>53.0</v>
      </c>
      <c r="C11" s="47">
        <f t="shared" si="1"/>
        <v>56.75</v>
      </c>
      <c r="D11" s="52">
        <v>32.6</v>
      </c>
      <c r="E11" s="52">
        <v>40.8</v>
      </c>
      <c r="F11" s="47">
        <f t="shared" si="2"/>
        <v>36.7</v>
      </c>
      <c r="G11" s="40">
        <f t="shared" si="3"/>
        <v>19.7</v>
      </c>
      <c r="H11" s="40">
        <f t="shared" si="4"/>
        <v>20.4</v>
      </c>
      <c r="I11" s="47">
        <f t="shared" si="5"/>
        <v>20.04796326</v>
      </c>
      <c r="J11" s="41">
        <v>1000.0</v>
      </c>
      <c r="K11" s="41">
        <v>4178.0</v>
      </c>
      <c r="L11" s="41">
        <v>1000.0</v>
      </c>
      <c r="M11" s="41">
        <v>4178.0</v>
      </c>
      <c r="N11" s="52">
        <v>4.9</v>
      </c>
      <c r="O11" s="42">
        <v>2.0E-4</v>
      </c>
      <c r="P11" s="49">
        <f t="shared" si="6"/>
        <v>0.04081632653</v>
      </c>
      <c r="Q11" s="52">
        <v>5.4</v>
      </c>
      <c r="R11" s="42">
        <v>2.0E-4</v>
      </c>
      <c r="S11" s="49">
        <f t="shared" si="7"/>
        <v>0.03703703704</v>
      </c>
      <c r="T11" s="49">
        <f t="shared" si="8"/>
        <v>1278.979592</v>
      </c>
      <c r="U11" s="43">
        <f t="shared" si="9"/>
        <v>1268.874074</v>
      </c>
      <c r="V11" s="49">
        <f t="shared" si="10"/>
        <v>1273.926833</v>
      </c>
      <c r="W11" s="50">
        <f t="shared" si="11"/>
        <v>1078.755649</v>
      </c>
      <c r="X11" s="49">
        <f t="shared" si="12"/>
        <v>154.7407407</v>
      </c>
      <c r="Y11" s="49">
        <f t="shared" si="13"/>
        <v>4317.266667</v>
      </c>
      <c r="Z11" s="44">
        <f t="shared" si="14"/>
        <v>29.50771707</v>
      </c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</row>
    <row r="12">
      <c r="A12" s="52">
        <v>60.5</v>
      </c>
      <c r="B12" s="52">
        <v>53.0</v>
      </c>
      <c r="C12" s="47">
        <f t="shared" si="1"/>
        <v>56.75</v>
      </c>
      <c r="D12" s="52">
        <v>32.6</v>
      </c>
      <c r="E12" s="52">
        <v>40.8</v>
      </c>
      <c r="F12" s="47">
        <f t="shared" si="2"/>
        <v>36.7</v>
      </c>
      <c r="G12" s="40">
        <f t="shared" si="3"/>
        <v>19.7</v>
      </c>
      <c r="H12" s="40">
        <f t="shared" si="4"/>
        <v>20.4</v>
      </c>
      <c r="I12" s="47">
        <f t="shared" si="5"/>
        <v>20.04796326</v>
      </c>
      <c r="J12" s="41">
        <v>1000.0</v>
      </c>
      <c r="K12" s="41">
        <v>4178.0</v>
      </c>
      <c r="L12" s="41">
        <v>1000.0</v>
      </c>
      <c r="M12" s="41">
        <v>4178.0</v>
      </c>
      <c r="N12" s="52">
        <v>4.9</v>
      </c>
      <c r="O12" s="42">
        <v>2.0E-4</v>
      </c>
      <c r="P12" s="49">
        <f t="shared" si="6"/>
        <v>0.04081632653</v>
      </c>
      <c r="Q12" s="52">
        <v>5.4</v>
      </c>
      <c r="R12" s="42">
        <v>2.0E-4</v>
      </c>
      <c r="S12" s="49">
        <f t="shared" si="7"/>
        <v>0.03703703704</v>
      </c>
      <c r="T12" s="49">
        <f t="shared" si="8"/>
        <v>1278.979592</v>
      </c>
      <c r="U12" s="43">
        <f t="shared" si="9"/>
        <v>1268.874074</v>
      </c>
      <c r="V12" s="49">
        <f t="shared" si="10"/>
        <v>1273.926833</v>
      </c>
      <c r="W12" s="50">
        <f t="shared" si="11"/>
        <v>1078.755649</v>
      </c>
      <c r="X12" s="49">
        <f t="shared" si="12"/>
        <v>154.7407407</v>
      </c>
      <c r="Y12" s="49">
        <f t="shared" si="13"/>
        <v>4317.266667</v>
      </c>
      <c r="Z12" s="44">
        <f t="shared" si="14"/>
        <v>29.50771707</v>
      </c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</row>
  </sheetData>
  <mergeCells count="17">
    <mergeCell ref="J4:M4"/>
    <mergeCell ref="A5:A6"/>
    <mergeCell ref="B5:B6"/>
    <mergeCell ref="C5:C6"/>
    <mergeCell ref="D5:D6"/>
    <mergeCell ref="E5:E6"/>
    <mergeCell ref="F5:F6"/>
    <mergeCell ref="L5:M5"/>
    <mergeCell ref="Y5:Y6"/>
    <mergeCell ref="Z5:Z6"/>
    <mergeCell ref="G5:I5"/>
    <mergeCell ref="J5:K5"/>
    <mergeCell ref="N5:P5"/>
    <mergeCell ref="Q5:S5"/>
    <mergeCell ref="T5:V5"/>
    <mergeCell ref="W5:W6"/>
    <mergeCell ref="X5:X6"/>
  </mergeCells>
  <hyperlinks>
    <hyperlink r:id="rId1" ref="E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9.13"/>
    <col customWidth="1" min="3" max="4" width="7.88"/>
    <col customWidth="1" min="5" max="6" width="8.13"/>
    <col customWidth="1" min="7" max="7" width="6.13"/>
    <col customWidth="1" min="8" max="8" width="5.5"/>
    <col customWidth="1" min="9" max="9" width="7.5"/>
    <col customWidth="1" min="10" max="10" width="7.88"/>
    <col customWidth="1" min="11" max="11" width="7.75"/>
    <col customWidth="1" min="12" max="12" width="8.13"/>
    <col customWidth="1" min="13" max="13" width="8.25"/>
    <col customWidth="1" min="14" max="14" width="5.5"/>
    <col customWidth="1" min="15" max="15" width="8.75"/>
    <col customWidth="1" min="16" max="16" width="7.63"/>
    <col customWidth="1" min="17" max="17" width="6.13"/>
    <col customWidth="1" min="18" max="18" width="8.5"/>
    <col customWidth="1" min="19" max="19" width="8.0"/>
    <col customWidth="1" min="20" max="20" width="8.88"/>
    <col customWidth="1" min="21" max="21" width="8.38"/>
    <col customWidth="1" min="22" max="22" width="8.13"/>
    <col customWidth="1" min="23" max="23" width="11.5"/>
    <col customWidth="1" min="24" max="24" width="14.63"/>
    <col customWidth="1" min="25" max="25" width="9.13"/>
    <col customWidth="1" min="26" max="26" width="10.63"/>
    <col customWidth="1" min="27" max="27" width="10.75"/>
    <col customWidth="1" min="28" max="28" width="10.0"/>
    <col customWidth="1" min="29" max="29" width="8.38"/>
  </cols>
  <sheetData>
    <row r="1">
      <c r="A1" s="22" t="s">
        <v>18</v>
      </c>
      <c r="B1" s="23">
        <v>0.0125</v>
      </c>
      <c r="C1" s="22"/>
      <c r="D1" s="24" t="s">
        <v>19</v>
      </c>
      <c r="E1" s="25" t="s">
        <v>20</v>
      </c>
      <c r="F1" s="26"/>
      <c r="G1" s="27"/>
      <c r="H1" s="27"/>
      <c r="I1" s="27"/>
      <c r="J1" s="28"/>
      <c r="K1" s="28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 t="s">
        <v>49</v>
      </c>
      <c r="Y1" s="53" t="s">
        <v>50</v>
      </c>
      <c r="Z1" s="27"/>
      <c r="AA1" s="27"/>
      <c r="AB1" s="27"/>
      <c r="AC1" s="27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</row>
    <row r="2" ht="26.25" customHeight="1">
      <c r="A2" s="29" t="s">
        <v>21</v>
      </c>
      <c r="B2" s="23">
        <v>1.5</v>
      </c>
      <c r="C2" s="22"/>
      <c r="D2" s="27"/>
      <c r="E2" s="27"/>
      <c r="F2" s="27"/>
      <c r="G2" s="27"/>
      <c r="H2" s="27"/>
      <c r="I2" s="27"/>
      <c r="J2" s="28"/>
      <c r="K2" s="28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</row>
    <row r="3" ht="26.25" customHeight="1">
      <c r="A3" s="29" t="s">
        <v>51</v>
      </c>
      <c r="B3" s="23">
        <v>18.0</v>
      </c>
      <c r="C3" s="22"/>
      <c r="D3" s="27"/>
      <c r="E3" s="27"/>
      <c r="F3" s="27"/>
      <c r="G3" s="27"/>
      <c r="H3" s="27"/>
      <c r="I3" s="27"/>
      <c r="J3" s="28"/>
      <c r="K3" s="28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</row>
    <row r="4" ht="23.25" customHeight="1">
      <c r="A4" s="22" t="s">
        <v>22</v>
      </c>
      <c r="B4" s="30">
        <f>PI()*B1*B2*B3</f>
        <v>1.060287521</v>
      </c>
      <c r="C4" s="31"/>
      <c r="D4" s="27"/>
      <c r="E4" s="27"/>
      <c r="F4" s="27"/>
      <c r="G4" s="27"/>
      <c r="H4" s="27"/>
      <c r="I4" s="27"/>
      <c r="J4" s="28"/>
      <c r="K4" s="28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</row>
    <row r="5" ht="23.25" customHeight="1">
      <c r="A5" s="32"/>
      <c r="B5" s="33"/>
      <c r="C5" s="33"/>
      <c r="D5" s="32"/>
      <c r="E5" s="32"/>
      <c r="F5" s="32"/>
      <c r="G5" s="32"/>
      <c r="H5" s="32"/>
      <c r="I5" s="32"/>
      <c r="J5" s="34" t="s">
        <v>23</v>
      </c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</row>
    <row r="6" ht="23.25" customHeight="1">
      <c r="A6" s="27" t="s">
        <v>24</v>
      </c>
      <c r="B6" s="35" t="s">
        <v>25</v>
      </c>
      <c r="C6" s="35" t="s">
        <v>26</v>
      </c>
      <c r="D6" s="27" t="s">
        <v>27</v>
      </c>
      <c r="E6" s="27" t="s">
        <v>28</v>
      </c>
      <c r="F6" s="27" t="s">
        <v>26</v>
      </c>
      <c r="G6" s="32" t="s">
        <v>29</v>
      </c>
      <c r="J6" s="34" t="s">
        <v>30</v>
      </c>
      <c r="L6" s="34" t="s">
        <v>31</v>
      </c>
      <c r="N6" s="32" t="s">
        <v>32</v>
      </c>
      <c r="Q6" s="32" t="s">
        <v>33</v>
      </c>
      <c r="T6" s="32" t="s">
        <v>34</v>
      </c>
      <c r="W6" s="27" t="s">
        <v>52</v>
      </c>
      <c r="X6" s="27" t="s">
        <v>53</v>
      </c>
      <c r="Y6" s="37" t="s">
        <v>54</v>
      </c>
      <c r="Z6" s="27" t="s">
        <v>35</v>
      </c>
      <c r="AA6" s="32" t="s">
        <v>36</v>
      </c>
      <c r="AB6" s="32" t="s">
        <v>37</v>
      </c>
      <c r="AC6" s="27" t="s">
        <v>38</v>
      </c>
    </row>
    <row r="7" ht="93.0" customHeight="1">
      <c r="G7" s="36" t="s">
        <v>39</v>
      </c>
      <c r="H7" s="36" t="s">
        <v>40</v>
      </c>
      <c r="I7" s="27" t="s">
        <v>29</v>
      </c>
      <c r="J7" s="37" t="s">
        <v>41</v>
      </c>
      <c r="K7" s="37" t="s">
        <v>42</v>
      </c>
      <c r="L7" s="37" t="s">
        <v>41</v>
      </c>
      <c r="M7" s="37" t="s">
        <v>43</v>
      </c>
      <c r="N7" s="27" t="s">
        <v>55</v>
      </c>
      <c r="O7" s="27" t="s">
        <v>45</v>
      </c>
      <c r="P7" s="27" t="s">
        <v>46</v>
      </c>
      <c r="Q7" s="54" t="s">
        <v>55</v>
      </c>
      <c r="R7" s="27" t="s">
        <v>45</v>
      </c>
      <c r="S7" s="27" t="s">
        <v>46</v>
      </c>
      <c r="T7" s="27" t="s">
        <v>47</v>
      </c>
      <c r="U7" s="27" t="s">
        <v>48</v>
      </c>
      <c r="V7" s="27" t="s">
        <v>26</v>
      </c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</row>
    <row r="8">
      <c r="A8" s="38">
        <v>50.9</v>
      </c>
      <c r="B8" s="38">
        <v>45.3</v>
      </c>
      <c r="C8" s="39">
        <f t="shared" ref="C8:C13" si="1">AVERAGE(A8:B8)</f>
        <v>48.1</v>
      </c>
      <c r="D8" s="38">
        <v>35.7</v>
      </c>
      <c r="E8" s="38">
        <v>42.5</v>
      </c>
      <c r="F8" s="39">
        <f t="shared" ref="F8:F13" si="2">AVERAGE(D8:E8)</f>
        <v>39.1</v>
      </c>
      <c r="G8" s="40">
        <f t="shared" ref="G8:G13" si="3">A8-E8</f>
        <v>8.4</v>
      </c>
      <c r="H8" s="40">
        <f t="shared" ref="H8:H13" si="4">B8-D8</f>
        <v>9.6</v>
      </c>
      <c r="I8" s="40">
        <f t="shared" ref="I8:I13" si="5">(G8-H8)/(ln(G8/H8))</f>
        <v>8.986650827</v>
      </c>
      <c r="J8" s="41">
        <v>1000.0</v>
      </c>
      <c r="K8" s="41">
        <v>4178.0</v>
      </c>
      <c r="L8" s="41">
        <v>1000.0</v>
      </c>
      <c r="M8" s="41">
        <v>4178.0</v>
      </c>
      <c r="N8" s="38">
        <v>25.0</v>
      </c>
      <c r="O8" s="55">
        <f t="shared" ref="O8:O13" si="6">N8*0.000001</f>
        <v>0.000025</v>
      </c>
      <c r="P8" s="43">
        <f t="shared" ref="P8:P13" si="7">O8*J8</f>
        <v>0.025</v>
      </c>
      <c r="Q8" s="38">
        <v>25.0</v>
      </c>
      <c r="R8" s="55">
        <f t="shared" ref="R8:R13" si="8">Q8*0.000001</f>
        <v>0.000025</v>
      </c>
      <c r="S8" s="43">
        <f t="shared" ref="S8:S13" si="9">R8*L8</f>
        <v>0.025</v>
      </c>
      <c r="T8" s="43">
        <f t="shared" ref="T8:T13" si="10">P8*K8*(A8-B8)</f>
        <v>584.92</v>
      </c>
      <c r="U8" s="43">
        <f t="shared" ref="U8:U13" si="11">-S8*M8*(D8-E8)</f>
        <v>710.26</v>
      </c>
      <c r="V8" s="43">
        <f t="shared" ref="V8:V13" si="12">AVERAGE(T8:U8)</f>
        <v>647.59</v>
      </c>
      <c r="W8" s="40">
        <f t="shared" ref="W8:W13" si="13">(D8-E8)/(B8-A8)</f>
        <v>1.214285714</v>
      </c>
      <c r="X8" s="40">
        <f t="shared" ref="X8:X13" si="14">(B8-A8)/(D8-A8)</f>
        <v>0.3684210526</v>
      </c>
      <c r="Y8" s="56">
        <v>0.9157</v>
      </c>
      <c r="Z8" s="21">
        <f t="shared" ref="Z8:Z13" si="15">V8/(B$4*I8*Y8)</f>
        <v>74.22076085</v>
      </c>
      <c r="AA8" s="43">
        <f t="shared" ref="AA8:AA13" si="16">min((P8*K8),(S8*M8))</f>
        <v>104.45</v>
      </c>
      <c r="AB8" s="43">
        <f t="shared" ref="AB8:AB13" si="17">AA8*(A8-D8)</f>
        <v>1587.64</v>
      </c>
      <c r="AC8" s="44">
        <f t="shared" ref="AC8:AC13" si="18">V8/AB8*100</f>
        <v>40.78947368</v>
      </c>
    </row>
    <row r="9">
      <c r="A9" s="38">
        <v>50.9</v>
      </c>
      <c r="B9" s="38">
        <v>45.0</v>
      </c>
      <c r="C9" s="39">
        <f t="shared" si="1"/>
        <v>47.95</v>
      </c>
      <c r="D9" s="38">
        <v>35.8</v>
      </c>
      <c r="E9" s="38">
        <v>42.6</v>
      </c>
      <c r="F9" s="39">
        <f t="shared" si="2"/>
        <v>39.2</v>
      </c>
      <c r="G9" s="40">
        <f t="shared" si="3"/>
        <v>8.3</v>
      </c>
      <c r="H9" s="40">
        <f t="shared" si="4"/>
        <v>9.2</v>
      </c>
      <c r="I9" s="40">
        <f t="shared" si="5"/>
        <v>8.742280266</v>
      </c>
      <c r="J9" s="41">
        <v>1000.0</v>
      </c>
      <c r="K9" s="41">
        <v>4178.0</v>
      </c>
      <c r="L9" s="41">
        <v>1000.0</v>
      </c>
      <c r="M9" s="41">
        <v>4178.0</v>
      </c>
      <c r="N9" s="38">
        <v>50.0</v>
      </c>
      <c r="O9" s="55">
        <f t="shared" si="6"/>
        <v>0.00005</v>
      </c>
      <c r="P9" s="43">
        <f t="shared" si="7"/>
        <v>0.05</v>
      </c>
      <c r="Q9" s="38">
        <v>50.0</v>
      </c>
      <c r="R9" s="55">
        <f t="shared" si="8"/>
        <v>0.00005</v>
      </c>
      <c r="S9" s="43">
        <f t="shared" si="9"/>
        <v>0.05</v>
      </c>
      <c r="T9" s="43">
        <f t="shared" si="10"/>
        <v>1232.51</v>
      </c>
      <c r="U9" s="43">
        <f t="shared" si="11"/>
        <v>1420.52</v>
      </c>
      <c r="V9" s="43">
        <f t="shared" si="12"/>
        <v>1326.515</v>
      </c>
      <c r="W9" s="40">
        <f t="shared" si="13"/>
        <v>1.152542373</v>
      </c>
      <c r="X9" s="40">
        <f t="shared" si="14"/>
        <v>0.3907284768</v>
      </c>
      <c r="Y9" s="56">
        <v>0.9157</v>
      </c>
      <c r="Z9" s="21">
        <f t="shared" si="15"/>
        <v>156.2825814</v>
      </c>
      <c r="AA9" s="43">
        <f t="shared" si="16"/>
        <v>208.9</v>
      </c>
      <c r="AB9" s="43">
        <f t="shared" si="17"/>
        <v>3154.39</v>
      </c>
      <c r="AC9" s="44">
        <f t="shared" si="18"/>
        <v>42.05298013</v>
      </c>
    </row>
    <row r="10">
      <c r="A10" s="38">
        <v>50.1</v>
      </c>
      <c r="B10" s="38">
        <v>44.9</v>
      </c>
      <c r="C10" s="39">
        <f t="shared" si="1"/>
        <v>47.5</v>
      </c>
      <c r="D10" s="38">
        <v>35.9</v>
      </c>
      <c r="E10" s="38">
        <v>42.55</v>
      </c>
      <c r="F10" s="39">
        <f t="shared" si="2"/>
        <v>39.225</v>
      </c>
      <c r="G10" s="40">
        <f t="shared" si="3"/>
        <v>7.55</v>
      </c>
      <c r="H10" s="40">
        <f t="shared" si="4"/>
        <v>9</v>
      </c>
      <c r="I10" s="40">
        <f t="shared" si="5"/>
        <v>8.253783272</v>
      </c>
      <c r="J10" s="41">
        <v>1000.0</v>
      </c>
      <c r="K10" s="41">
        <v>4178.0</v>
      </c>
      <c r="L10" s="41">
        <v>1000.0</v>
      </c>
      <c r="M10" s="41">
        <v>4178.0</v>
      </c>
      <c r="N10" s="38">
        <v>75.0</v>
      </c>
      <c r="O10" s="55">
        <f t="shared" si="6"/>
        <v>0.000075</v>
      </c>
      <c r="P10" s="43">
        <f t="shared" si="7"/>
        <v>0.075</v>
      </c>
      <c r="Q10" s="38">
        <v>75.0</v>
      </c>
      <c r="R10" s="55">
        <f t="shared" si="8"/>
        <v>0.000075</v>
      </c>
      <c r="S10" s="43">
        <f t="shared" si="9"/>
        <v>0.075</v>
      </c>
      <c r="T10" s="43">
        <f t="shared" si="10"/>
        <v>1629.42</v>
      </c>
      <c r="U10" s="43">
        <f t="shared" si="11"/>
        <v>2083.7775</v>
      </c>
      <c r="V10" s="43">
        <f t="shared" si="12"/>
        <v>1856.59875</v>
      </c>
      <c r="W10" s="40">
        <f t="shared" si="13"/>
        <v>1.278846154</v>
      </c>
      <c r="X10" s="40">
        <f t="shared" si="14"/>
        <v>0.3661971831</v>
      </c>
      <c r="Y10" s="56">
        <v>0.9157</v>
      </c>
      <c r="Z10" s="21">
        <f t="shared" si="15"/>
        <v>231.6797782</v>
      </c>
      <c r="AA10" s="43">
        <f t="shared" si="16"/>
        <v>313.35</v>
      </c>
      <c r="AB10" s="43">
        <f t="shared" si="17"/>
        <v>4449.57</v>
      </c>
      <c r="AC10" s="44">
        <f t="shared" si="18"/>
        <v>41.72535211</v>
      </c>
    </row>
    <row r="11">
      <c r="A11" s="57">
        <v>49.4</v>
      </c>
      <c r="B11" s="57">
        <v>45.7</v>
      </c>
      <c r="C11" s="46">
        <f t="shared" si="1"/>
        <v>47.55</v>
      </c>
      <c r="D11" s="57">
        <v>34.9</v>
      </c>
      <c r="E11" s="57">
        <v>42.2</v>
      </c>
      <c r="F11" s="39">
        <f t="shared" si="2"/>
        <v>38.55</v>
      </c>
      <c r="G11" s="40">
        <f t="shared" si="3"/>
        <v>7.2</v>
      </c>
      <c r="H11" s="40">
        <f t="shared" si="4"/>
        <v>10.8</v>
      </c>
      <c r="I11" s="40">
        <f t="shared" si="5"/>
        <v>8.878692465</v>
      </c>
      <c r="J11" s="41">
        <v>1000.0</v>
      </c>
      <c r="K11" s="41">
        <v>4178.0</v>
      </c>
      <c r="L11" s="41">
        <v>1000.0</v>
      </c>
      <c r="M11" s="41">
        <v>4178.0</v>
      </c>
      <c r="N11" s="57">
        <v>85.0</v>
      </c>
      <c r="O11" s="55">
        <f t="shared" si="6"/>
        <v>0.000085</v>
      </c>
      <c r="P11" s="43">
        <f t="shared" si="7"/>
        <v>0.085</v>
      </c>
      <c r="Q11" s="57">
        <v>85.0</v>
      </c>
      <c r="R11" s="55">
        <f t="shared" si="8"/>
        <v>0.000085</v>
      </c>
      <c r="S11" s="43">
        <f t="shared" si="9"/>
        <v>0.085</v>
      </c>
      <c r="T11" s="43">
        <f t="shared" si="10"/>
        <v>1313.981</v>
      </c>
      <c r="U11" s="43">
        <f t="shared" si="11"/>
        <v>2592.449</v>
      </c>
      <c r="V11" s="43">
        <f t="shared" si="12"/>
        <v>1953.215</v>
      </c>
      <c r="W11" s="40">
        <f t="shared" si="13"/>
        <v>1.972972973</v>
      </c>
      <c r="X11" s="40">
        <f t="shared" si="14"/>
        <v>0.2551724138</v>
      </c>
      <c r="Y11" s="56">
        <v>0.9157</v>
      </c>
      <c r="Z11" s="21">
        <f t="shared" si="15"/>
        <v>226.581357</v>
      </c>
      <c r="AA11" s="49">
        <f t="shared" si="16"/>
        <v>355.13</v>
      </c>
      <c r="AB11" s="43">
        <f t="shared" si="17"/>
        <v>5149.385</v>
      </c>
      <c r="AC11" s="44">
        <f t="shared" si="18"/>
        <v>37.93103448</v>
      </c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</row>
    <row r="12">
      <c r="A12" s="52">
        <v>60.5</v>
      </c>
      <c r="B12" s="52">
        <v>53.0</v>
      </c>
      <c r="C12" s="47">
        <f t="shared" si="1"/>
        <v>56.75</v>
      </c>
      <c r="D12" s="52">
        <v>32.6</v>
      </c>
      <c r="E12" s="52">
        <v>40.8</v>
      </c>
      <c r="F12" s="39">
        <f t="shared" si="2"/>
        <v>36.7</v>
      </c>
      <c r="G12" s="40">
        <f t="shared" si="3"/>
        <v>19.7</v>
      </c>
      <c r="H12" s="40">
        <f t="shared" si="4"/>
        <v>20.4</v>
      </c>
      <c r="I12" s="40">
        <f t="shared" si="5"/>
        <v>20.04796326</v>
      </c>
      <c r="J12" s="41">
        <v>1000.0</v>
      </c>
      <c r="K12" s="41">
        <v>4178.0</v>
      </c>
      <c r="L12" s="41">
        <v>1000.0</v>
      </c>
      <c r="M12" s="41">
        <v>4178.0</v>
      </c>
      <c r="N12" s="52">
        <v>4.9</v>
      </c>
      <c r="O12" s="55">
        <f t="shared" si="6"/>
        <v>0.0000049</v>
      </c>
      <c r="P12" s="43">
        <f t="shared" si="7"/>
        <v>0.0049</v>
      </c>
      <c r="Q12" s="52">
        <v>5.4</v>
      </c>
      <c r="R12" s="55">
        <f t="shared" si="8"/>
        <v>0.0000054</v>
      </c>
      <c r="S12" s="43">
        <f t="shared" si="9"/>
        <v>0.0054</v>
      </c>
      <c r="T12" s="43">
        <f t="shared" si="10"/>
        <v>153.5415</v>
      </c>
      <c r="U12" s="43">
        <f t="shared" si="11"/>
        <v>185.00184</v>
      </c>
      <c r="V12" s="43">
        <f t="shared" si="12"/>
        <v>169.27167</v>
      </c>
      <c r="W12" s="40">
        <f t="shared" si="13"/>
        <v>1.093333333</v>
      </c>
      <c r="X12" s="40">
        <f t="shared" si="14"/>
        <v>0.2688172043</v>
      </c>
      <c r="Y12" s="56">
        <v>0.9157</v>
      </c>
      <c r="Z12" s="21">
        <f t="shared" si="15"/>
        <v>8.696352938</v>
      </c>
      <c r="AA12" s="49">
        <f t="shared" si="16"/>
        <v>20.4722</v>
      </c>
      <c r="AB12" s="43">
        <f t="shared" si="17"/>
        <v>571.17438</v>
      </c>
      <c r="AC12" s="44">
        <f t="shared" si="18"/>
        <v>29.63572526</v>
      </c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</row>
    <row r="13">
      <c r="A13" s="52">
        <v>60.5</v>
      </c>
      <c r="B13" s="52">
        <v>53.0</v>
      </c>
      <c r="C13" s="47">
        <f t="shared" si="1"/>
        <v>56.75</v>
      </c>
      <c r="D13" s="52">
        <v>32.6</v>
      </c>
      <c r="E13" s="52">
        <v>40.8</v>
      </c>
      <c r="F13" s="39">
        <f t="shared" si="2"/>
        <v>36.7</v>
      </c>
      <c r="G13" s="40">
        <f t="shared" si="3"/>
        <v>19.7</v>
      </c>
      <c r="H13" s="40">
        <f t="shared" si="4"/>
        <v>20.4</v>
      </c>
      <c r="I13" s="40">
        <f t="shared" si="5"/>
        <v>20.04796326</v>
      </c>
      <c r="J13" s="41">
        <v>1000.0</v>
      </c>
      <c r="K13" s="41">
        <v>4178.0</v>
      </c>
      <c r="L13" s="41">
        <v>1000.0</v>
      </c>
      <c r="M13" s="41">
        <v>4178.0</v>
      </c>
      <c r="N13" s="52">
        <v>4.9</v>
      </c>
      <c r="O13" s="55">
        <f t="shared" si="6"/>
        <v>0.0000049</v>
      </c>
      <c r="P13" s="43">
        <f t="shared" si="7"/>
        <v>0.0049</v>
      </c>
      <c r="Q13" s="52">
        <v>5.4</v>
      </c>
      <c r="R13" s="55">
        <f t="shared" si="8"/>
        <v>0.0000054</v>
      </c>
      <c r="S13" s="43">
        <f t="shared" si="9"/>
        <v>0.0054</v>
      </c>
      <c r="T13" s="43">
        <f t="shared" si="10"/>
        <v>153.5415</v>
      </c>
      <c r="U13" s="43">
        <f t="shared" si="11"/>
        <v>185.00184</v>
      </c>
      <c r="V13" s="43">
        <f t="shared" si="12"/>
        <v>169.27167</v>
      </c>
      <c r="W13" s="40">
        <f t="shared" si="13"/>
        <v>1.093333333</v>
      </c>
      <c r="X13" s="40">
        <f t="shared" si="14"/>
        <v>0.2688172043</v>
      </c>
      <c r="Y13" s="56">
        <v>0.9157</v>
      </c>
      <c r="Z13" s="21">
        <f t="shared" si="15"/>
        <v>8.696352938</v>
      </c>
      <c r="AA13" s="49">
        <f t="shared" si="16"/>
        <v>20.4722</v>
      </c>
      <c r="AB13" s="43">
        <f t="shared" si="17"/>
        <v>571.17438</v>
      </c>
      <c r="AC13" s="44">
        <f t="shared" si="18"/>
        <v>29.63572526</v>
      </c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</row>
  </sheetData>
  <mergeCells count="20">
    <mergeCell ref="J5:M5"/>
    <mergeCell ref="A6:A7"/>
    <mergeCell ref="B6:B7"/>
    <mergeCell ref="C6:C7"/>
    <mergeCell ref="D6:D7"/>
    <mergeCell ref="E6:E7"/>
    <mergeCell ref="F6:F7"/>
    <mergeCell ref="L6:M6"/>
    <mergeCell ref="Y6:Y7"/>
    <mergeCell ref="Z6:Z7"/>
    <mergeCell ref="AA6:AA7"/>
    <mergeCell ref="AB6:AB7"/>
    <mergeCell ref="AC6:AC7"/>
    <mergeCell ref="G6:I6"/>
    <mergeCell ref="J6:K6"/>
    <mergeCell ref="N6:P6"/>
    <mergeCell ref="Q6:S6"/>
    <mergeCell ref="T6:V6"/>
    <mergeCell ref="W6:W7"/>
    <mergeCell ref="X6:X7"/>
  </mergeCells>
  <hyperlinks>
    <hyperlink r:id="rId1" ref="E1"/>
    <hyperlink r:id="rId2" ref="Y1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7.75"/>
    <col customWidth="1" min="3" max="3" width="5.13"/>
    <col customWidth="1" min="4" max="4" width="8.63"/>
    <col customWidth="1" min="5" max="5" width="8.5"/>
    <col customWidth="1" min="6" max="6" width="5.38"/>
    <col customWidth="1" min="7" max="7" width="5.5"/>
    <col customWidth="1" min="8" max="8" width="4.63"/>
    <col customWidth="1" min="9" max="9" width="6.38"/>
    <col customWidth="1" min="10" max="10" width="6.5"/>
    <col customWidth="1" min="11" max="11" width="7.88"/>
    <col customWidth="1" min="12" max="12" width="8.5"/>
    <col customWidth="1" min="13" max="13" width="9.0"/>
    <col customWidth="1" min="14" max="14" width="9.25"/>
    <col customWidth="1" min="15" max="15" width="9.0"/>
    <col customWidth="1" min="16" max="16" width="8.13"/>
    <col customWidth="1" min="17" max="17" width="9.25"/>
    <col customWidth="1" min="18" max="18" width="8.75"/>
    <col customWidth="1" min="19" max="19" width="9.38"/>
    <col customWidth="1" min="20" max="20" width="6.5"/>
    <col customWidth="1" min="21" max="21" width="8.5"/>
    <col customWidth="1" min="22" max="22" width="9.0"/>
    <col customWidth="1" min="23" max="23" width="4.75"/>
    <col customWidth="1" min="24" max="24" width="9.13"/>
    <col customWidth="1" min="25" max="25" width="8.25"/>
  </cols>
  <sheetData>
    <row r="1">
      <c r="A1" s="58" t="s">
        <v>56</v>
      </c>
      <c r="B1" s="59">
        <v>0.014</v>
      </c>
      <c r="C1" s="22"/>
      <c r="D1" s="22" t="s">
        <v>57</v>
      </c>
      <c r="E1" s="60">
        <v>0.028</v>
      </c>
      <c r="F1" s="22"/>
      <c r="G1" s="22"/>
      <c r="H1" s="22"/>
      <c r="I1" s="22"/>
      <c r="J1" s="22"/>
      <c r="K1" s="22"/>
      <c r="L1" s="22"/>
      <c r="M1" s="22"/>
      <c r="N1" s="22"/>
      <c r="O1" s="58"/>
      <c r="P1" s="58"/>
      <c r="Q1" s="58"/>
      <c r="R1" s="58"/>
      <c r="S1" s="58"/>
      <c r="T1" s="58"/>
      <c r="U1" s="58"/>
      <c r="V1" s="58"/>
      <c r="W1" s="58"/>
      <c r="X1" s="5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>
      <c r="A2" s="58" t="s">
        <v>58</v>
      </c>
      <c r="B2" s="61">
        <f>PI()*B1*B1/4</f>
        <v>0.00015393804</v>
      </c>
      <c r="C2" s="22"/>
      <c r="D2" s="2" t="s">
        <v>59</v>
      </c>
      <c r="E2" s="60">
        <v>0.4</v>
      </c>
      <c r="F2" s="22"/>
      <c r="G2" s="22"/>
      <c r="H2" s="22"/>
      <c r="I2" s="22"/>
      <c r="J2" s="22"/>
      <c r="K2" s="22"/>
      <c r="L2" s="22"/>
      <c r="M2" s="22"/>
      <c r="N2" s="22"/>
      <c r="O2" s="58"/>
      <c r="P2" s="58"/>
      <c r="Q2" s="58"/>
      <c r="R2" s="58"/>
      <c r="S2" s="58"/>
      <c r="T2" s="58"/>
      <c r="U2" s="58"/>
      <c r="V2" s="58"/>
      <c r="W2" s="58"/>
      <c r="X2" s="5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</row>
    <row r="3">
      <c r="A3" s="58" t="s">
        <v>60</v>
      </c>
      <c r="B3" s="59">
        <v>0.64</v>
      </c>
      <c r="C3" s="22"/>
      <c r="D3" s="22" t="s">
        <v>61</v>
      </c>
      <c r="E3" s="30">
        <f>PI()*E1*E2</f>
        <v>0.03518583772</v>
      </c>
      <c r="F3" s="22"/>
      <c r="G3" s="22"/>
      <c r="H3" s="22"/>
      <c r="I3" s="22"/>
      <c r="J3" s="22"/>
      <c r="K3" s="22"/>
      <c r="L3" s="22"/>
      <c r="M3" s="22"/>
      <c r="N3" s="22"/>
      <c r="O3" s="58"/>
      <c r="P3" s="58"/>
      <c r="Q3" s="58"/>
      <c r="R3" s="58"/>
      <c r="S3" s="58"/>
      <c r="T3" s="58"/>
      <c r="U3" s="58"/>
      <c r="V3" s="58"/>
      <c r="W3" s="58"/>
      <c r="X3" s="5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</row>
    <row r="4">
      <c r="A4" s="58"/>
      <c r="B4" s="58"/>
      <c r="C4" s="22"/>
      <c r="D4" s="22" t="s">
        <v>62</v>
      </c>
      <c r="E4" s="30">
        <f>Pi()*E1*E1/4</f>
        <v>0.0006157521601</v>
      </c>
      <c r="F4" s="22"/>
      <c r="G4" s="22"/>
      <c r="H4" s="22"/>
      <c r="I4" s="22"/>
      <c r="J4" s="22"/>
      <c r="K4" s="22"/>
      <c r="L4" s="22"/>
      <c r="M4" s="22"/>
      <c r="N4" s="22"/>
      <c r="O4" s="58"/>
      <c r="P4" s="58"/>
      <c r="Q4" s="58"/>
      <c r="R4" s="58"/>
      <c r="S4" s="58"/>
      <c r="T4" s="58"/>
      <c r="U4" s="58"/>
      <c r="V4" s="58"/>
      <c r="W4" s="58"/>
      <c r="X4" s="5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</row>
    <row r="5">
      <c r="A5" s="62" t="s">
        <v>63</v>
      </c>
      <c r="B5" s="62" t="s">
        <v>64</v>
      </c>
      <c r="C5" s="27" t="s">
        <v>65</v>
      </c>
      <c r="K5" s="27"/>
      <c r="L5" s="27"/>
      <c r="M5" s="27"/>
      <c r="N5" s="27"/>
      <c r="O5" s="62" t="s">
        <v>66</v>
      </c>
      <c r="Q5" s="62" t="s">
        <v>67</v>
      </c>
      <c r="S5" s="62" t="s">
        <v>68</v>
      </c>
      <c r="T5" s="62" t="s">
        <v>69</v>
      </c>
      <c r="U5" s="62" t="s">
        <v>70</v>
      </c>
      <c r="V5" s="62" t="s">
        <v>71</v>
      </c>
      <c r="W5" s="62" t="s">
        <v>72</v>
      </c>
      <c r="X5" s="62" t="s">
        <v>73</v>
      </c>
      <c r="Y5" s="62" t="s">
        <v>74</v>
      </c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</row>
    <row r="6">
      <c r="C6" s="62" t="s">
        <v>6</v>
      </c>
      <c r="D6" s="62" t="s">
        <v>7</v>
      </c>
      <c r="E6" s="62" t="s">
        <v>8</v>
      </c>
      <c r="F6" s="62" t="s">
        <v>9</v>
      </c>
      <c r="G6" s="62" t="s">
        <v>75</v>
      </c>
      <c r="H6" s="62" t="s">
        <v>76</v>
      </c>
      <c r="I6" s="62" t="s">
        <v>77</v>
      </c>
      <c r="J6" s="62" t="s">
        <v>78</v>
      </c>
      <c r="K6" s="62" t="s">
        <v>79</v>
      </c>
      <c r="L6" s="62" t="s">
        <v>80</v>
      </c>
      <c r="M6" s="62" t="s">
        <v>81</v>
      </c>
      <c r="N6" s="62" t="s">
        <v>82</v>
      </c>
      <c r="O6" s="62" t="s">
        <v>83</v>
      </c>
      <c r="P6" s="62" t="s">
        <v>84</v>
      </c>
      <c r="Q6" s="62" t="s">
        <v>85</v>
      </c>
      <c r="R6" s="62" t="s">
        <v>86</v>
      </c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</row>
    <row r="7">
      <c r="A7" s="38">
        <v>50.0</v>
      </c>
      <c r="B7" s="38">
        <v>0.36</v>
      </c>
      <c r="C7" s="38">
        <v>26.0</v>
      </c>
      <c r="D7" s="38">
        <v>36.0</v>
      </c>
      <c r="E7" s="38">
        <v>36.0</v>
      </c>
      <c r="F7" s="38">
        <v>37.0</v>
      </c>
      <c r="G7" s="38">
        <v>36.0</v>
      </c>
      <c r="H7" s="38">
        <v>27.0</v>
      </c>
      <c r="I7" s="40">
        <f t="shared" ref="I7:I9" si="1">AVERAGE(D7:G7)</f>
        <v>36.25</v>
      </c>
      <c r="J7" s="40">
        <f t="shared" ref="J7:J9" si="2">AVERAGE(C7,H7)</f>
        <v>26.5</v>
      </c>
      <c r="K7" s="56">
        <v>1.1785</v>
      </c>
      <c r="L7" s="41">
        <v>1006.3</v>
      </c>
      <c r="M7" s="41">
        <v>1.8515E-5</v>
      </c>
      <c r="N7" s="56">
        <v>0.026081</v>
      </c>
      <c r="O7" s="55">
        <v>0.026</v>
      </c>
      <c r="P7" s="43">
        <f t="shared" ref="P7:P9" si="3">O7*1000/K7</f>
        <v>22.06194315</v>
      </c>
      <c r="Q7" s="43">
        <f t="shared" ref="Q7:Q9" si="4">B$3*B$2*SQRT(2*9.81*P7)</f>
        <v>0.002049733074</v>
      </c>
      <c r="R7" s="43">
        <f t="shared" ref="R7:R9" si="5">Q7*K7</f>
        <v>0.002415610427</v>
      </c>
      <c r="S7" s="43">
        <f t="shared" ref="S7:S9" si="6">R7*L7*(H7-C7)</f>
        <v>2.430828773</v>
      </c>
      <c r="T7" s="44">
        <f t="shared" ref="T7:T9" si="7">S7/(E$3*(I7-J7))</f>
        <v>7.085685257</v>
      </c>
      <c r="U7" s="43">
        <f t="shared" ref="U7:U9" si="8">Q7/E$4</f>
        <v>3.328828068</v>
      </c>
      <c r="V7" s="43">
        <f t="shared" ref="V7:V9" si="9">K7*U7*E$1/M7</f>
        <v>5932.739325</v>
      </c>
      <c r="W7" s="64">
        <f t="shared" ref="W7:W9" si="10">M7*L7/N7</f>
        <v>0.7143761551</v>
      </c>
      <c r="X7" s="40">
        <f t="shared" ref="X7:X9" si="11">0.023*(V7^0.8)*(W7^0.4)</f>
        <v>20.98470311</v>
      </c>
      <c r="Y7" s="44">
        <f t="shared" ref="Y7:Y9" si="12">X7*N7/E$1</f>
        <v>19.54650149</v>
      </c>
    </row>
    <row r="8">
      <c r="A8" s="38">
        <v>50.0</v>
      </c>
      <c r="B8" s="38">
        <v>0.36</v>
      </c>
      <c r="C8" s="38">
        <v>26.0</v>
      </c>
      <c r="D8" s="38">
        <v>38.0</v>
      </c>
      <c r="E8" s="38">
        <v>38.0</v>
      </c>
      <c r="F8" s="38">
        <v>39.0</v>
      </c>
      <c r="G8" s="38">
        <v>36.0</v>
      </c>
      <c r="H8" s="38">
        <v>29.0</v>
      </c>
      <c r="I8" s="40">
        <f t="shared" si="1"/>
        <v>37.75</v>
      </c>
      <c r="J8" s="40">
        <f t="shared" si="2"/>
        <v>27.5</v>
      </c>
      <c r="K8" s="56">
        <v>1.1746</v>
      </c>
      <c r="L8" s="41">
        <v>1006.4</v>
      </c>
      <c r="M8" s="41">
        <v>1.8562E-5</v>
      </c>
      <c r="N8" s="41">
        <v>0.026155</v>
      </c>
      <c r="O8" s="55">
        <v>0.018</v>
      </c>
      <c r="P8" s="43">
        <f t="shared" si="3"/>
        <v>15.32436574</v>
      </c>
      <c r="Q8" s="43">
        <f t="shared" si="4"/>
        <v>0.001708309998</v>
      </c>
      <c r="R8" s="43">
        <f t="shared" si="5"/>
        <v>0.002006580923</v>
      </c>
      <c r="S8" s="43">
        <f t="shared" si="6"/>
        <v>6.058269123</v>
      </c>
      <c r="T8" s="44">
        <f t="shared" si="7"/>
        <v>16.79796999</v>
      </c>
      <c r="U8" s="43">
        <f t="shared" si="8"/>
        <v>2.774346739</v>
      </c>
      <c r="V8" s="43">
        <f t="shared" si="9"/>
        <v>4915.684465</v>
      </c>
      <c r="W8" s="64">
        <f t="shared" si="10"/>
        <v>0.7142342497</v>
      </c>
      <c r="X8" s="40">
        <f t="shared" si="11"/>
        <v>18.0522485</v>
      </c>
      <c r="Y8" s="44">
        <f t="shared" si="12"/>
        <v>16.86273427</v>
      </c>
    </row>
    <row r="9">
      <c r="A9" s="38">
        <v>50.0</v>
      </c>
      <c r="B9" s="38">
        <v>0.36</v>
      </c>
      <c r="C9" s="38">
        <v>26.0</v>
      </c>
      <c r="D9" s="38">
        <v>38.0</v>
      </c>
      <c r="E9" s="38">
        <v>39.0</v>
      </c>
      <c r="F9" s="38">
        <v>40.0</v>
      </c>
      <c r="G9" s="38">
        <v>39.0</v>
      </c>
      <c r="H9" s="38">
        <v>29.0</v>
      </c>
      <c r="I9" s="40">
        <f t="shared" si="1"/>
        <v>39</v>
      </c>
      <c r="J9" s="40">
        <f t="shared" si="2"/>
        <v>27.5</v>
      </c>
      <c r="K9" s="56">
        <v>1.1746</v>
      </c>
      <c r="L9" s="41">
        <v>1006.4</v>
      </c>
      <c r="M9" s="41">
        <v>1.8562E-5</v>
      </c>
      <c r="N9" s="41">
        <v>0.026155</v>
      </c>
      <c r="O9" s="55">
        <v>0.01</v>
      </c>
      <c r="P9" s="43">
        <f t="shared" si="3"/>
        <v>8.513536523</v>
      </c>
      <c r="Q9" s="43">
        <f t="shared" si="4"/>
        <v>0.001273299094</v>
      </c>
      <c r="R9" s="43">
        <f t="shared" si="5"/>
        <v>0.001495617116</v>
      </c>
      <c r="S9" s="43">
        <f t="shared" si="6"/>
        <v>4.515567195</v>
      </c>
      <c r="T9" s="44">
        <f t="shared" si="7"/>
        <v>11.1595472</v>
      </c>
      <c r="U9" s="43">
        <f t="shared" si="8"/>
        <v>2.067875967</v>
      </c>
      <c r="V9" s="43">
        <f t="shared" si="9"/>
        <v>3663.934873</v>
      </c>
      <c r="W9" s="64">
        <f t="shared" si="10"/>
        <v>0.7142342497</v>
      </c>
      <c r="X9" s="40">
        <f t="shared" si="11"/>
        <v>14.26994506</v>
      </c>
      <c r="Y9" s="44">
        <f t="shared" si="12"/>
        <v>13.32965761</v>
      </c>
    </row>
    <row r="10">
      <c r="A10" s="65"/>
      <c r="B10" s="65"/>
      <c r="C10" s="65"/>
      <c r="D10" s="65"/>
      <c r="E10" s="65"/>
      <c r="F10" s="65"/>
      <c r="G10" s="65"/>
      <c r="H10" s="65"/>
      <c r="I10" s="40"/>
      <c r="J10" s="40"/>
      <c r="K10" s="66"/>
      <c r="L10" s="66"/>
      <c r="M10" s="66"/>
      <c r="N10" s="66"/>
    </row>
    <row r="11">
      <c r="A11" s="65"/>
      <c r="B11" s="65"/>
      <c r="C11" s="65"/>
      <c r="D11" s="65"/>
      <c r="E11" s="65"/>
      <c r="F11" s="65"/>
      <c r="G11" s="65"/>
      <c r="H11" s="65"/>
      <c r="I11" s="40"/>
      <c r="J11" s="40"/>
      <c r="K11" s="66"/>
      <c r="L11" s="66"/>
      <c r="M11" s="66"/>
      <c r="N11" s="66"/>
    </row>
    <row r="12">
      <c r="K12" s="66"/>
      <c r="L12" s="66"/>
      <c r="M12" s="66"/>
      <c r="N12" s="66"/>
    </row>
  </sheetData>
  <mergeCells count="12">
    <mergeCell ref="U5:U6"/>
    <mergeCell ref="V5:V6"/>
    <mergeCell ref="W5:W6"/>
    <mergeCell ref="X5:X6"/>
    <mergeCell ref="Y5:Y6"/>
    <mergeCell ref="A5:A6"/>
    <mergeCell ref="B5:B6"/>
    <mergeCell ref="C5:J5"/>
    <mergeCell ref="O5:P5"/>
    <mergeCell ref="Q5:R5"/>
    <mergeCell ref="S5:S6"/>
    <mergeCell ref="T5:T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87</v>
      </c>
      <c r="B1" s="2">
        <v>0.025</v>
      </c>
    </row>
    <row r="2">
      <c r="A2" s="2" t="s">
        <v>88</v>
      </c>
      <c r="B2" s="2">
        <v>0.4</v>
      </c>
    </row>
    <row r="6">
      <c r="A6" s="32" t="s">
        <v>89</v>
      </c>
      <c r="K6" s="32" t="s">
        <v>90</v>
      </c>
      <c r="L6" s="32" t="s">
        <v>91</v>
      </c>
      <c r="M6" s="32" t="s">
        <v>92</v>
      </c>
      <c r="N6" s="32" t="s">
        <v>93</v>
      </c>
      <c r="O6" s="67" t="s">
        <v>94</v>
      </c>
      <c r="P6" s="32" t="s">
        <v>95</v>
      </c>
      <c r="Q6" s="32" t="s">
        <v>72</v>
      </c>
      <c r="R6" s="68" t="s">
        <v>96</v>
      </c>
      <c r="S6" s="32" t="s">
        <v>97</v>
      </c>
      <c r="T6" s="32" t="s">
        <v>98</v>
      </c>
      <c r="U6" s="32"/>
      <c r="V6" s="32"/>
      <c r="W6" s="32" t="s">
        <v>99</v>
      </c>
      <c r="X6" s="32" t="s">
        <v>100</v>
      </c>
      <c r="Y6" s="69"/>
      <c r="Z6" s="69"/>
      <c r="AA6" s="69"/>
      <c r="AB6" s="69"/>
      <c r="AC6" s="69"/>
      <c r="AD6" s="69"/>
    </row>
    <row r="7">
      <c r="A7" s="32" t="s">
        <v>6</v>
      </c>
      <c r="B7" s="32" t="s">
        <v>7</v>
      </c>
      <c r="C7" s="32" t="s">
        <v>8</v>
      </c>
      <c r="D7" s="32" t="s">
        <v>9</v>
      </c>
      <c r="E7" s="32" t="s">
        <v>75</v>
      </c>
      <c r="F7" s="32" t="s">
        <v>76</v>
      </c>
      <c r="G7" s="32" t="s">
        <v>101</v>
      </c>
      <c r="H7" s="32" t="s">
        <v>102</v>
      </c>
      <c r="I7" s="32" t="s">
        <v>103</v>
      </c>
      <c r="J7" s="32" t="s">
        <v>104</v>
      </c>
      <c r="U7" s="32" t="s">
        <v>105</v>
      </c>
      <c r="V7" s="32" t="s">
        <v>106</v>
      </c>
      <c r="Y7" s="69"/>
      <c r="Z7" s="69"/>
      <c r="AA7" s="69"/>
      <c r="AB7" s="69"/>
      <c r="AC7" s="69"/>
      <c r="AD7" s="69"/>
    </row>
    <row r="8">
      <c r="I8" s="70" t="str">
        <f>AVERAGE(A8:G8)</f>
        <v>#DIV/0!</v>
      </c>
      <c r="J8" s="70" t="str">
        <f>AVERAGE(I8,H8)</f>
        <v>#DIV/0!</v>
      </c>
      <c r="O8" s="70" t="str">
        <f>1/(J8+273)</f>
        <v>#DIV/0!</v>
      </c>
      <c r="P8" s="70" t="str">
        <f>9.81*(B$2^3)*O8*(I7-J8)/(M8^2)</f>
        <v>#DIV/0!</v>
      </c>
      <c r="Q8" s="70" t="str">
        <f>K8*L8/N8</f>
        <v>#DIV/0!</v>
      </c>
      <c r="R8" s="70" t="str">
        <f>P8*Q8</f>
        <v>#DIV/0!</v>
      </c>
      <c r="S8" s="70" t="str">
        <f>0.13*R8^0.333</f>
        <v>#DIV/0!</v>
      </c>
      <c r="T8" s="70" t="str">
        <f>S8*N8/B$2</f>
        <v>#DIV/0!</v>
      </c>
      <c r="W8" s="70">
        <f>U8*V8</f>
        <v>0</v>
      </c>
    </row>
  </sheetData>
  <mergeCells count="13">
    <mergeCell ref="Q6:Q7"/>
    <mergeCell ref="R6:R7"/>
    <mergeCell ref="S6:S7"/>
    <mergeCell ref="T6:T7"/>
    <mergeCell ref="W6:W7"/>
    <mergeCell ref="X6:X7"/>
    <mergeCell ref="A6:J6"/>
    <mergeCell ref="K6:K7"/>
    <mergeCell ref="L6:L7"/>
    <mergeCell ref="M6:M7"/>
    <mergeCell ref="N6:N7"/>
    <mergeCell ref="O6:O7"/>
    <mergeCell ref="P6:P7"/>
  </mergeCells>
  <hyperlinks>
    <hyperlink r:id="rId1" ref="R6"/>
  </hyperlinks>
  <drawing r:id="rId2"/>
</worksheet>
</file>