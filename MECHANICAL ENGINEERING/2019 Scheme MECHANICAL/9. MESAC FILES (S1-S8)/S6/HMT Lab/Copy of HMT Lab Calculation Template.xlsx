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tural Convention" sheetId="1" r:id="rId5"/>
    <sheet state="visible" name="Forced Convection" sheetId="2" r:id="rId6"/>
    <sheet state="visible" name="Copy of Forced Convection" sheetId="3" r:id="rId7"/>
  </sheets>
  <definedNames/>
  <calcPr/>
</workbook>
</file>

<file path=xl/sharedStrings.xml><?xml version="1.0" encoding="utf-8"?>
<sst xmlns="http://schemas.openxmlformats.org/spreadsheetml/2006/main" count="348" uniqueCount="138">
  <si>
    <t>HEAT TRANSFER IN NATURAL CONVECTION</t>
  </si>
  <si>
    <t>To access this file: Go to File &gt; Make a Copy &gt; Save to your drive</t>
  </si>
  <si>
    <t xml:space="preserve">Aim: </t>
  </si>
  <si>
    <t xml:space="preserve"> To determine the local heat transfer coefficient for a vertical tube losing heat by natural convection.</t>
  </si>
  <si>
    <t>Procedure:</t>
  </si>
  <si>
    <t>1. Put ON the supply and adjust the dimmerstat to obtain the required heat input.
2. Wait till the fairly steady state is reached, which is confirmed from temperature
readings (T1 to T7).
3. Note down the surface temperature at various points.
4. Note the ambient temperature (T8).
5. Repeat the experiment at various heat inputs.</t>
  </si>
  <si>
    <t>Result :</t>
  </si>
  <si>
    <t xml:space="preserve">The average experimental heat transfer coefficient = </t>
  </si>
  <si>
    <t xml:space="preserve">The average theoretical heat transfer coefficient     = </t>
  </si>
  <si>
    <t>Inference :</t>
  </si>
  <si>
    <t>ONLY ENTER THE FOLLOWING CELLS</t>
  </si>
  <si>
    <t>Enter readings</t>
  </si>
  <si>
    <t>Enter value from data table corresponding to the temp Tf</t>
  </si>
  <si>
    <t>No of readings given</t>
  </si>
  <si>
    <t>acceleration due to gravity</t>
  </si>
  <si>
    <t>g</t>
  </si>
  <si>
    <t>m/s^-2</t>
  </si>
  <si>
    <t>Observations:</t>
  </si>
  <si>
    <t>Cylinder outer dia, D</t>
  </si>
  <si>
    <t>mm</t>
  </si>
  <si>
    <t>or</t>
  </si>
  <si>
    <t>m</t>
  </si>
  <si>
    <t>Length of the cylinder, L</t>
  </si>
  <si>
    <t>Input to the heater</t>
  </si>
  <si>
    <t>VI</t>
  </si>
  <si>
    <t>Sl No</t>
  </si>
  <si>
    <t>Thermocouple readings (oC)</t>
  </si>
  <si>
    <t>Ts (oC)</t>
  </si>
  <si>
    <t>Tf (K)</t>
  </si>
  <si>
    <t>Gr</t>
  </si>
  <si>
    <t>Ra</t>
  </si>
  <si>
    <t>hth (W/m2K)</t>
  </si>
  <si>
    <t>hexp (W/m2K)</t>
  </si>
  <si>
    <t>T1</t>
  </si>
  <si>
    <t>T2</t>
  </si>
  <si>
    <t>T3</t>
  </si>
  <si>
    <t>T4</t>
  </si>
  <si>
    <t>T5</t>
  </si>
  <si>
    <t>T6</t>
  </si>
  <si>
    <t>T7</t>
  </si>
  <si>
    <t>Ta</t>
  </si>
  <si>
    <t>Power given to heater</t>
  </si>
  <si>
    <r>
      <rPr>
        <rFont val="Arial"/>
        <color rgb="FF000000"/>
        <sz val="8.0"/>
      </rPr>
      <t xml:space="preserve">kinematic viscosity of the fluid, </t>
    </r>
    <r>
      <rPr>
        <rFont val="Arial"/>
        <color rgb="FF000000"/>
        <sz val="11.0"/>
      </rPr>
      <t>v</t>
    </r>
  </si>
  <si>
    <t>Prandtl No, Pr</t>
  </si>
  <si>
    <t>Thermal Conductivity, k</t>
  </si>
  <si>
    <t>Voltage (volt)</t>
  </si>
  <si>
    <t>Current (amp)</t>
  </si>
  <si>
    <t>Power (watts)</t>
  </si>
  <si>
    <t>Nu</t>
  </si>
  <si>
    <t>Change the above values by taking from data table on corresponding to the temp Tf</t>
  </si>
  <si>
    <t>Sample Calculation:</t>
  </si>
  <si>
    <t>(sample calculation given below is taken based on Sl No: #1 by default)</t>
  </si>
  <si>
    <t>Average surface temperature, Ts</t>
  </si>
  <si>
    <t>oC</t>
  </si>
  <si>
    <t>Ambient temperature</t>
  </si>
  <si>
    <t>Ta = T8</t>
  </si>
  <si>
    <t>Surface area of heat transfer, As</t>
  </si>
  <si>
    <t>As = pi*D*L</t>
  </si>
  <si>
    <t>m2</t>
  </si>
  <si>
    <t>Average heat transfer coefficient, hav</t>
  </si>
  <si>
    <t>hav = Qa/AsΔT</t>
  </si>
  <si>
    <t>W/m^2K</t>
  </si>
  <si>
    <t>Grashof number, Gr</t>
  </si>
  <si>
    <t>Gr = (g*L^3*β*ΔT)/v^2</t>
  </si>
  <si>
    <t>-</t>
  </si>
  <si>
    <t>Where, ΔT</t>
  </si>
  <si>
    <t>ΔT = (Ts – Ta)</t>
  </si>
  <si>
    <t xml:space="preserve">             acceleration due to gravity</t>
  </si>
  <si>
    <t>Tf = (Ts+Ta)/2</t>
  </si>
  <si>
    <t xml:space="preserve">             coefficient of volumetric expansion of the fluid</t>
  </si>
  <si>
    <t>β=1/(Tf+273)</t>
  </si>
  <si>
    <t>/oC</t>
  </si>
  <si>
    <t xml:space="preserve">             kinematic viscosity of the fluid</t>
  </si>
  <si>
    <t>v</t>
  </si>
  <si>
    <t>m3/sec</t>
  </si>
  <si>
    <t>(from table)</t>
  </si>
  <si>
    <t xml:space="preserve">Prandtl number, Pr </t>
  </si>
  <si>
    <t>Pr</t>
  </si>
  <si>
    <t>Ra = Gr x Pr</t>
  </si>
  <si>
    <t>Nusselt number, Nu</t>
  </si>
  <si>
    <t>Note:</t>
  </si>
  <si>
    <t xml:space="preserve">IF 10^4 &lt; Gr*Pr &lt;10^8 , </t>
  </si>
  <si>
    <t>Nu = 0.56*(Gr*Pr)^0.25</t>
  </si>
  <si>
    <t xml:space="preserve">IF Gr*Pr &gt; 10^8,              </t>
  </si>
  <si>
    <t>Nu = 0.13*(Gr*Pr)^(1/3)</t>
  </si>
  <si>
    <t>hth = (Nu*k)/L</t>
  </si>
  <si>
    <t>Thermal Conductivity</t>
  </si>
  <si>
    <t>k</t>
  </si>
  <si>
    <t>W/mK</t>
  </si>
  <si>
    <t>-- END --</t>
  </si>
  <si>
    <t>Error Statements:</t>
  </si>
  <si>
    <t>Invalid 'Ra' Value or less than 10^4</t>
  </si>
  <si>
    <t>Outer diameter of the pipe, Do</t>
  </si>
  <si>
    <t>Inner diameter of the pipe, Di</t>
  </si>
  <si>
    <t>Length of test section, L</t>
  </si>
  <si>
    <t>Orifice diameter, d</t>
  </si>
  <si>
    <t>Ammeter Reading (A)</t>
  </si>
  <si>
    <t>Voltmeter Reading (V)</t>
  </si>
  <si>
    <t>Manometer Reading (m)</t>
  </si>
  <si>
    <t>Specific heat of air, Cp</t>
  </si>
  <si>
    <t>Density of air, ρa</t>
  </si>
  <si>
    <t>Density of water, ρw</t>
  </si>
  <si>
    <t>Left</t>
  </si>
  <si>
    <t>Right</t>
  </si>
  <si>
    <t>in m</t>
  </si>
  <si>
    <t>Mean temperature of air, Ta</t>
  </si>
  <si>
    <t xml:space="preserve"> </t>
  </si>
  <si>
    <t>Ts = (T2+T3+T4+T5)/4</t>
  </si>
  <si>
    <t>Mean temperature, Ts</t>
  </si>
  <si>
    <t>Ta = (T1+T6)/2</t>
  </si>
  <si>
    <t>Cp</t>
  </si>
  <si>
    <t>J/kgK</t>
  </si>
  <si>
    <t>ρa</t>
  </si>
  <si>
    <t>kg/m^3</t>
  </si>
  <si>
    <t>ρw</t>
  </si>
  <si>
    <t>kg/m^4</t>
  </si>
  <si>
    <t>Coefficient of discharge, Cd</t>
  </si>
  <si>
    <t>Cd</t>
  </si>
  <si>
    <t>Area of Orifice</t>
  </si>
  <si>
    <t>Ao = (pi/4)*d^2</t>
  </si>
  <si>
    <t>m^2</t>
  </si>
  <si>
    <t>Area of Pipe</t>
  </si>
  <si>
    <t>Ap = (pi/4)*Di^2</t>
  </si>
  <si>
    <t>m^3</t>
  </si>
  <si>
    <t>Air discharge, Q</t>
  </si>
  <si>
    <t>Q = Cd*Ao*root(2gh(ρw/(ρa-1)))</t>
  </si>
  <si>
    <t>Velocity of air at outlet</t>
  </si>
  <si>
    <t>V = Q/Ap</t>
  </si>
  <si>
    <t>m/s</t>
  </si>
  <si>
    <t>Mass flow rate of air, m</t>
  </si>
  <si>
    <t xml:space="preserve">m = Q . ρa . 3600 </t>
  </si>
  <si>
    <t>Heat carried away by air, qa</t>
  </si>
  <si>
    <t xml:space="preserve"> qa = ma . Cp (T6 – T1)</t>
  </si>
  <si>
    <t>Heat transfer area, A</t>
  </si>
  <si>
    <t xml:space="preserve">A = π Di L </t>
  </si>
  <si>
    <t>Heat transfer coefficient, ha</t>
  </si>
  <si>
    <t>ha = Qa/(A(Ts-Ta))</t>
  </si>
  <si>
    <t>PARALLEL FLOW HEAT EXCHANGER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</si>
</sst>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00000"/>
    <numFmt numFmtId="166" formatCode="[$£-809]#,##0.00"/>
    <numFmt numFmtId="167" formatCode="0.0000"/>
  </numFmts>
  <fonts count="15">
    <font>
      <sz val="10.0"/>
      <color rgb="FF000000"/>
      <name val="Arial"/>
      <scheme val="minor"/>
    </font>
    <font>
      <color theme="1"/>
      <name val="Arial"/>
      <scheme val="minor"/>
    </font>
    <font>
      <b/>
      <sz val="18.0"/>
      <color theme="1"/>
      <name val="Arial"/>
      <scheme val="minor"/>
    </font>
    <font>
      <b/>
      <sz val="11.0"/>
      <color rgb="FFFF0000"/>
      <name val="Arial"/>
      <scheme val="minor"/>
    </font>
    <font>
      <b/>
      <sz val="12.0"/>
      <color theme="1"/>
      <name val="Arial"/>
      <scheme val="minor"/>
    </font>
    <font/>
    <font>
      <sz val="11.0"/>
      <color rgb="FF000000"/>
      <name val="Inconsolata"/>
    </font>
    <font>
      <b/>
      <color theme="1"/>
      <name val="Arial"/>
      <scheme val="minor"/>
    </font>
    <font>
      <sz val="8.0"/>
      <color rgb="FF000000"/>
      <name val="Arial"/>
    </font>
    <font>
      <color rgb="FF000000"/>
      <name val="Arial"/>
    </font>
    <font>
      <b/>
      <i/>
      <color theme="1"/>
      <name val="Arial"/>
      <scheme val="minor"/>
    </font>
    <font>
      <color rgb="FF000000"/>
      <name val="Roboto"/>
    </font>
    <font>
      <sz val="8.0"/>
      <color theme="1"/>
      <name val="Arial"/>
      <scheme val="minor"/>
    </font>
    <font>
      <sz val="8.0"/>
      <color rgb="FF000000"/>
      <name val="Inconsolata"/>
    </font>
    <font>
      <color rgb="FFFFFFFF"/>
      <name val="Arial"/>
      <scheme val="minor"/>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theme="0"/>
        <bgColor theme="0"/>
      </patternFill>
    </fill>
  </fills>
  <borders count="34">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FFFFFF"/>
      </left>
      <bottom style="thin">
        <color rgb="FFFFFFFF"/>
      </bottom>
    </border>
    <border>
      <left style="thin">
        <color rgb="FFFFFFFF"/>
      </left>
      <right style="thin">
        <color rgb="FFFFFFFF"/>
      </right>
      <bottom style="thin">
        <color rgb="FFFFFFF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border>
    <border>
      <left style="thin">
        <color rgb="FF000000"/>
      </left>
      <right style="thin">
        <color rgb="FFFFFFFF"/>
      </right>
      <top style="thin">
        <color rgb="FFFFFFFF"/>
      </top>
      <bottom style="thin">
        <color rgb="FFFFFFFF"/>
      </bottom>
    </border>
    <border>
      <left style="thin">
        <color rgb="FFFFFFFF"/>
      </left>
      <top style="thin">
        <color rgb="FFFFFFFF"/>
      </top>
    </border>
    <border>
      <left style="thin">
        <color rgb="FFFFFFFF"/>
      </left>
    </border>
    <border>
      <left style="thin">
        <color rgb="FFFFFFFF"/>
      </left>
      <top style="thin">
        <color rgb="FF000000"/>
      </top>
      <bottom style="thin">
        <color rgb="FFFFFFFF"/>
      </bottom>
    </border>
    <border>
      <left style="thin">
        <color rgb="FFFFFFFF"/>
      </left>
      <top style="thin">
        <color rgb="FFFFFFFF"/>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1" fillId="0" fontId="1" numFmtId="0" xfId="0" applyAlignment="1" applyBorder="1" applyFont="1">
      <alignment vertical="center"/>
    </xf>
    <xf borderId="1" fillId="0" fontId="3" numFmtId="0" xfId="0" applyAlignment="1" applyBorder="1" applyFont="1">
      <alignment readingOrder="0"/>
    </xf>
    <xf borderId="2" fillId="0" fontId="4" numFmtId="0" xfId="0" applyAlignment="1" applyBorder="1" applyFont="1">
      <alignment readingOrder="0"/>
    </xf>
    <xf borderId="3" fillId="0" fontId="5" numFmtId="0" xfId="0" applyBorder="1" applyFont="1"/>
    <xf borderId="1" fillId="0" fontId="1" numFmtId="0" xfId="0" applyAlignment="1" applyBorder="1" applyFont="1">
      <alignment readingOrder="0"/>
    </xf>
    <xf borderId="2" fillId="0" fontId="1" numFmtId="0" xfId="0" applyAlignment="1" applyBorder="1" applyFont="1">
      <alignment readingOrder="0"/>
    </xf>
    <xf borderId="4" fillId="0" fontId="1" numFmtId="0" xfId="0" applyAlignment="1" applyBorder="1" applyFont="1">
      <alignment readingOrder="0" shrinkToFit="0" wrapText="1"/>
    </xf>
    <xf borderId="4" fillId="0" fontId="5" numFmtId="0" xfId="0" applyBorder="1" applyFont="1"/>
    <xf borderId="5" fillId="0" fontId="5" numFmtId="0" xfId="0" applyBorder="1" applyFont="1"/>
    <xf borderId="2" fillId="0" fontId="1" numFmtId="0" xfId="0" applyAlignment="1" applyBorder="1" applyFont="1">
      <alignment horizontal="right" readingOrder="0"/>
    </xf>
    <xf borderId="0" fillId="0" fontId="4" numFmtId="0" xfId="0" applyAlignment="1" applyFont="1">
      <alignment readingOrder="0"/>
    </xf>
    <xf borderId="2" fillId="0" fontId="1" numFmtId="0" xfId="0" applyAlignment="1" applyBorder="1" applyFont="1">
      <alignment readingOrder="0" shrinkToFit="0" wrapText="1"/>
    </xf>
    <xf borderId="6" fillId="0" fontId="5" numFmtId="0" xfId="0" applyBorder="1" applyFont="1"/>
    <xf borderId="1" fillId="0" fontId="1" numFmtId="4" xfId="0" applyAlignment="1" applyBorder="1" applyFont="1" applyNumberFormat="1">
      <alignment readingOrder="0" shrinkToFit="0" wrapText="1"/>
    </xf>
    <xf borderId="1" fillId="0" fontId="1" numFmtId="0" xfId="0" applyAlignment="1" applyBorder="1" applyFont="1">
      <alignment readingOrder="0" shrinkToFit="0" wrapText="1"/>
    </xf>
    <xf borderId="3" fillId="0" fontId="1" numFmtId="0" xfId="0" applyAlignment="1" applyBorder="1" applyFont="1">
      <alignment readingOrder="0" shrinkToFit="0" wrapText="1"/>
    </xf>
    <xf borderId="2" fillId="2" fontId="1" numFmtId="0" xfId="0" applyAlignment="1" applyBorder="1" applyFill="1" applyFont="1">
      <alignment readingOrder="0"/>
    </xf>
    <xf borderId="1" fillId="0" fontId="4" numFmtId="0" xfId="0" applyAlignment="1" applyBorder="1" applyFont="1">
      <alignment readingOrder="0"/>
    </xf>
    <xf borderId="0" fillId="2" fontId="6" numFmtId="0" xfId="0" applyAlignment="1" applyFont="1">
      <alignment readingOrder="0"/>
    </xf>
    <xf borderId="7" fillId="0" fontId="1" numFmtId="0" xfId="0" applyAlignment="1" applyBorder="1" applyFont="1">
      <alignment readingOrder="0"/>
    </xf>
    <xf borderId="7" fillId="0" fontId="1" numFmtId="0" xfId="0" applyBorder="1" applyFont="1"/>
    <xf borderId="8" fillId="0" fontId="7" numFmtId="0" xfId="0" applyAlignment="1" applyBorder="1" applyFont="1">
      <alignment readingOrder="0"/>
    </xf>
    <xf borderId="9" fillId="0" fontId="1" numFmtId="0" xfId="0" applyAlignment="1" applyBorder="1" applyFont="1">
      <alignment readingOrder="0"/>
    </xf>
    <xf borderId="9" fillId="0" fontId="1" numFmtId="0" xfId="0" applyBorder="1" applyFont="1"/>
    <xf borderId="10" fillId="0" fontId="1" numFmtId="0" xfId="0" applyBorder="1" applyFont="1"/>
    <xf borderId="3" fillId="0" fontId="1" numFmtId="0" xfId="0" applyBorder="1" applyFont="1"/>
    <xf borderId="11" fillId="3" fontId="1" numFmtId="0" xfId="0" applyAlignment="1" applyBorder="1" applyFill="1" applyFont="1">
      <alignment readingOrder="0"/>
    </xf>
    <xf borderId="12" fillId="0" fontId="1" numFmtId="0" xfId="0" applyAlignment="1" applyBorder="1" applyFont="1">
      <alignment readingOrder="0"/>
    </xf>
    <xf borderId="12" fillId="4" fontId="1" numFmtId="0" xfId="0" applyAlignment="1" applyBorder="1" applyFill="1" applyFont="1">
      <alignment readingOrder="0"/>
    </xf>
    <xf borderId="12" fillId="0" fontId="1" numFmtId="0" xfId="0" applyBorder="1" applyFont="1"/>
    <xf borderId="13" fillId="0" fontId="1" numFmtId="0" xfId="0" applyBorder="1" applyFont="1"/>
    <xf borderId="14" fillId="2" fontId="1" numFmtId="0" xfId="0" applyAlignment="1" applyBorder="1" applyFont="1">
      <alignment readingOrder="0" shrinkToFit="0" wrapText="1"/>
    </xf>
    <xf borderId="15" fillId="2" fontId="1" numFmtId="0" xfId="0" applyAlignment="1" applyBorder="1" applyFont="1">
      <alignment readingOrder="0"/>
    </xf>
    <xf borderId="14" fillId="2" fontId="1" numFmtId="0" xfId="0" applyAlignment="1" applyBorder="1" applyFont="1">
      <alignment readingOrder="0"/>
    </xf>
    <xf borderId="15" fillId="0" fontId="1" numFmtId="0" xfId="0" applyBorder="1" applyFont="1"/>
    <xf borderId="2" fillId="3" fontId="1" numFmtId="0" xfId="0" applyAlignment="1" applyBorder="1" applyFont="1">
      <alignment readingOrder="0"/>
    </xf>
    <xf borderId="0" fillId="0" fontId="1" numFmtId="0" xfId="0" applyAlignment="1" applyFont="1">
      <alignment readingOrder="0"/>
    </xf>
    <xf borderId="1" fillId="0" fontId="1" numFmtId="0" xfId="0" applyAlignment="1" applyBorder="1" applyFont="1">
      <alignment readingOrder="0" vertical="center"/>
    </xf>
    <xf borderId="2" fillId="0" fontId="1" numFmtId="0" xfId="0" applyBorder="1" applyFont="1"/>
    <xf borderId="16" fillId="0" fontId="1" numFmtId="0" xfId="0" applyAlignment="1" applyBorder="1" applyFont="1">
      <alignment readingOrder="0"/>
    </xf>
    <xf borderId="17" fillId="0" fontId="1" numFmtId="0" xfId="0" applyAlignment="1" applyBorder="1" applyFont="1">
      <alignment readingOrder="0"/>
    </xf>
    <xf borderId="18" fillId="0" fontId="5" numFmtId="0" xfId="0" applyBorder="1" applyFont="1"/>
    <xf borderId="19" fillId="0" fontId="5" numFmtId="0" xfId="0" applyBorder="1" applyFont="1"/>
    <xf borderId="16" fillId="0" fontId="1" numFmtId="0" xfId="0" applyAlignment="1" applyBorder="1" applyFont="1">
      <alignment horizontal="center" readingOrder="0" vertical="center"/>
    </xf>
    <xf borderId="3" fillId="2" fontId="8" numFmtId="0" xfId="0" applyAlignment="1" applyBorder="1" applyFont="1">
      <alignment horizontal="center" readingOrder="0" shrinkToFit="0" wrapText="1"/>
    </xf>
    <xf borderId="20" fillId="0" fontId="5" numFmtId="0" xfId="0" applyBorder="1" applyFont="1"/>
    <xf borderId="21" fillId="0" fontId="1" numFmtId="0" xfId="0" applyAlignment="1" applyBorder="1" applyFont="1">
      <alignment readingOrder="0"/>
    </xf>
    <xf borderId="21" fillId="3" fontId="1" numFmtId="0" xfId="0" applyAlignment="1" applyBorder="1" applyFont="1">
      <alignment readingOrder="0"/>
    </xf>
    <xf borderId="21" fillId="0" fontId="1" numFmtId="164" xfId="0" applyBorder="1" applyFont="1" applyNumberFormat="1"/>
    <xf borderId="21" fillId="0" fontId="1" numFmtId="0" xfId="0" applyBorder="1" applyFont="1"/>
    <xf borderId="21" fillId="0" fontId="1" numFmtId="4" xfId="0" applyBorder="1" applyFont="1" applyNumberFormat="1"/>
    <xf borderId="3" fillId="5" fontId="1" numFmtId="0" xfId="0" applyAlignment="1" applyBorder="1" applyFill="1" applyFont="1">
      <alignment readingOrder="0"/>
    </xf>
    <xf borderId="3" fillId="5" fontId="1" numFmtId="0" xfId="0" applyBorder="1" applyFont="1"/>
    <xf borderId="22" fillId="0" fontId="1" numFmtId="0" xfId="0" applyBorder="1" applyFont="1"/>
    <xf borderId="17" fillId="0" fontId="1" numFmtId="0" xfId="0" applyAlignment="1" applyBorder="1" applyFont="1">
      <alignment horizontal="center" readingOrder="0"/>
    </xf>
    <xf borderId="0" fillId="2" fontId="8" numFmtId="0" xfId="0" applyAlignment="1" applyFont="1">
      <alignment horizontal="center" readingOrder="0" shrinkToFit="0" wrapText="1"/>
    </xf>
    <xf borderId="1" fillId="0" fontId="1" numFmtId="0" xfId="0" applyAlignment="1" applyBorder="1" applyFont="1">
      <alignment horizontal="center" readingOrder="0" vertical="center"/>
    </xf>
    <xf borderId="17" fillId="3" fontId="1" numFmtId="0" xfId="0" applyAlignment="1" applyBorder="1" applyFont="1">
      <alignment readingOrder="0"/>
    </xf>
    <xf borderId="3" fillId="4" fontId="1" numFmtId="0" xfId="0" applyAlignment="1" applyBorder="1" applyFont="1">
      <alignment readingOrder="0"/>
    </xf>
    <xf borderId="1" fillId="2" fontId="6" numFmtId="0" xfId="0" applyBorder="1" applyFont="1"/>
    <xf borderId="3" fillId="4" fontId="1" numFmtId="0" xfId="0" applyBorder="1" applyFont="1"/>
    <xf borderId="4" fillId="2" fontId="9" numFmtId="0" xfId="0" applyAlignment="1" applyBorder="1" applyFont="1">
      <alignment horizontal="center" readingOrder="0" shrinkToFit="0" wrapText="1"/>
    </xf>
    <xf borderId="1" fillId="0" fontId="10" numFmtId="0" xfId="0" applyAlignment="1" applyBorder="1" applyFont="1">
      <alignment readingOrder="0"/>
    </xf>
    <xf borderId="2" fillId="0" fontId="1" numFmtId="164" xfId="0" applyBorder="1" applyFont="1" applyNumberFormat="1"/>
    <xf borderId="23" fillId="0" fontId="1" numFmtId="0" xfId="0" applyAlignment="1" applyBorder="1" applyFont="1">
      <alignment readingOrder="0"/>
    </xf>
    <xf borderId="0" fillId="2" fontId="11" numFmtId="0" xfId="0" applyAlignment="1" applyFont="1">
      <alignment readingOrder="0"/>
    </xf>
    <xf borderId="2" fillId="0" fontId="1" numFmtId="165" xfId="0" applyBorder="1" applyFont="1" applyNumberFormat="1"/>
    <xf borderId="1" fillId="0" fontId="7" numFmtId="164" xfId="0" applyBorder="1" applyFont="1" applyNumberFormat="1"/>
    <xf borderId="7" fillId="0" fontId="1" numFmtId="166" xfId="0" applyAlignment="1" applyBorder="1" applyFont="1" applyNumberFormat="1">
      <alignment readingOrder="0"/>
    </xf>
    <xf borderId="24" fillId="0" fontId="1" numFmtId="164" xfId="0" applyBorder="1" applyFont="1" applyNumberFormat="1"/>
    <xf borderId="7" fillId="2" fontId="1" numFmtId="0" xfId="0" applyBorder="1" applyFont="1"/>
    <xf borderId="1" fillId="2" fontId="1" numFmtId="0" xfId="0" applyBorder="1" applyFont="1"/>
    <xf borderId="2" fillId="2" fontId="1" numFmtId="0" xfId="0" applyBorder="1" applyFont="1"/>
    <xf borderId="23" fillId="2" fontId="1" numFmtId="0" xfId="0" applyBorder="1" applyFont="1"/>
    <xf borderId="22" fillId="0" fontId="1" numFmtId="0" xfId="0" applyAlignment="1" applyBorder="1" applyFont="1">
      <alignment readingOrder="0"/>
    </xf>
    <xf borderId="22" fillId="0" fontId="1" numFmtId="166" xfId="0" applyAlignment="1" applyBorder="1" applyFont="1" applyNumberFormat="1">
      <alignment readingOrder="0"/>
    </xf>
    <xf borderId="25" fillId="0" fontId="1" numFmtId="0" xfId="0" applyBorder="1" applyFont="1"/>
    <xf borderId="9" fillId="0" fontId="1" numFmtId="166" xfId="0" applyAlignment="1" applyBorder="1" applyFont="1" applyNumberFormat="1">
      <alignment readingOrder="0"/>
    </xf>
    <xf borderId="26" fillId="0" fontId="1" numFmtId="0" xfId="0" applyBorder="1" applyFont="1"/>
    <xf borderId="15" fillId="0" fontId="1" numFmtId="0" xfId="0" applyAlignment="1" applyBorder="1" applyFont="1">
      <alignment readingOrder="0"/>
    </xf>
    <xf borderId="14" fillId="0" fontId="1" numFmtId="0" xfId="0" applyBorder="1" applyFont="1"/>
    <xf borderId="5" fillId="2" fontId="9" numFmtId="0" xfId="0" applyAlignment="1" applyBorder="1" applyFont="1">
      <alignment horizontal="left" readingOrder="0" shrinkToFit="0" wrapText="1"/>
    </xf>
    <xf borderId="4" fillId="2" fontId="9" numFmtId="0" xfId="0" applyAlignment="1" applyBorder="1" applyFont="1">
      <alignment horizontal="left" readingOrder="0" shrinkToFit="0" wrapText="1"/>
    </xf>
    <xf borderId="2" fillId="5" fontId="1" numFmtId="0" xfId="0" applyBorder="1" applyFont="1"/>
    <xf borderId="24" fillId="0" fontId="1" numFmtId="0" xfId="0" applyBorder="1" applyFont="1"/>
    <xf borderId="27" fillId="0" fontId="1" numFmtId="0" xfId="0" applyBorder="1" applyFont="1"/>
    <xf borderId="23" fillId="0" fontId="1" numFmtId="0" xfId="0" applyBorder="1" applyFont="1"/>
    <xf borderId="15" fillId="0" fontId="12" numFmtId="0" xfId="0" applyAlignment="1" applyBorder="1" applyFont="1">
      <alignment readingOrder="0"/>
    </xf>
    <xf borderId="15" fillId="0" fontId="12" numFmtId="0" xfId="0" applyBorder="1" applyFont="1"/>
    <xf borderId="0" fillId="2" fontId="13" numFmtId="0" xfId="0" applyAlignment="1" applyFont="1">
      <alignment readingOrder="0"/>
    </xf>
    <xf borderId="1" fillId="0" fontId="12" numFmtId="0" xfId="0" applyAlignment="1" applyBorder="1" applyFont="1">
      <alignment readingOrder="0"/>
    </xf>
    <xf borderId="1" fillId="0" fontId="12" numFmtId="0" xfId="0" applyBorder="1" applyFont="1"/>
    <xf borderId="27" fillId="0" fontId="1" numFmtId="0" xfId="0" applyAlignment="1" applyBorder="1" applyFont="1">
      <alignment readingOrder="0"/>
    </xf>
    <xf borderId="1" fillId="0" fontId="7" numFmtId="0" xfId="0" applyAlignment="1" applyBorder="1" applyFont="1">
      <alignment readingOrder="0"/>
    </xf>
    <xf borderId="16" fillId="0" fontId="1" numFmtId="0" xfId="0" applyAlignment="1" applyBorder="1" applyFont="1">
      <alignment horizontal="center" readingOrder="0"/>
    </xf>
    <xf borderId="28" fillId="0" fontId="1" numFmtId="0" xfId="0" applyAlignment="1" applyBorder="1" applyFont="1">
      <alignment horizontal="center" readingOrder="0" shrinkToFit="0" wrapText="1"/>
    </xf>
    <xf borderId="29" fillId="0" fontId="5" numFmtId="0" xfId="0" applyBorder="1" applyFont="1"/>
    <xf borderId="30" fillId="0" fontId="5" numFmtId="0" xfId="0" applyBorder="1" applyFont="1"/>
    <xf borderId="31" fillId="0" fontId="5" numFmtId="0" xfId="0" applyBorder="1" applyFont="1"/>
    <xf borderId="32" fillId="0" fontId="5" numFmtId="0" xfId="0" applyBorder="1" applyFont="1"/>
    <xf borderId="21" fillId="0" fontId="1" numFmtId="0" xfId="0" applyAlignment="1" applyBorder="1" applyFont="1">
      <alignment horizontal="center" readingOrder="0"/>
    </xf>
    <xf borderId="31" fillId="0" fontId="1" numFmtId="0" xfId="0" applyAlignment="1" applyBorder="1" applyFont="1">
      <alignment horizontal="center" readingOrder="0" shrinkToFit="0" wrapText="1"/>
    </xf>
    <xf borderId="33" fillId="0" fontId="1" numFmtId="0" xfId="0" applyAlignment="1" applyBorder="1" applyFont="1">
      <alignment horizontal="center" readingOrder="0" shrinkToFit="0" wrapText="1"/>
    </xf>
    <xf borderId="32" fillId="0" fontId="1" numFmtId="0" xfId="0" applyAlignment="1" applyBorder="1" applyFont="1">
      <alignment horizontal="center" readingOrder="0" shrinkToFit="0" wrapText="1"/>
    </xf>
    <xf borderId="18" fillId="3" fontId="1" numFmtId="0" xfId="0" applyAlignment="1" applyBorder="1" applyFont="1">
      <alignment readingOrder="0"/>
    </xf>
    <xf borderId="19" fillId="3" fontId="1" numFmtId="0" xfId="0" applyAlignment="1" applyBorder="1" applyFont="1">
      <alignment readingOrder="0"/>
    </xf>
    <xf borderId="23" fillId="0" fontId="14" numFmtId="0" xfId="0" applyBorder="1" applyFont="1"/>
    <xf borderId="16" fillId="3" fontId="1" numFmtId="0" xfId="0" applyAlignment="1" applyBorder="1" applyFont="1">
      <alignment readingOrder="0"/>
    </xf>
    <xf borderId="28" fillId="3" fontId="1" numFmtId="0" xfId="0" applyAlignment="1" applyBorder="1" applyFont="1">
      <alignment readingOrder="0"/>
    </xf>
    <xf borderId="30" fillId="3" fontId="1" numFmtId="0" xfId="0" applyAlignment="1" applyBorder="1" applyFont="1">
      <alignment readingOrder="0"/>
    </xf>
    <xf borderId="24" fillId="0" fontId="1" numFmtId="167" xfId="0" applyAlignment="1" applyBorder="1" applyFont="1" applyNumberFormat="1">
      <alignment readingOrder="0"/>
    </xf>
    <xf borderId="1" fillId="2" fontId="9" numFmtId="0" xfId="0" applyAlignment="1" applyBorder="1" applyFont="1">
      <alignment horizontal="left" readingOrder="0"/>
    </xf>
    <xf borderId="1" fillId="0" fontId="1" numFmtId="166" xfId="0" applyAlignment="1" applyBorder="1" applyFont="1" applyNumberFormat="1">
      <alignment readingOrder="0"/>
    </xf>
    <xf borderId="15" fillId="0" fontId="1" numFmtId="166"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352425</xdr:colOff>
      <xdr:row>0</xdr:row>
      <xdr:rowOff>0</xdr:rowOff>
    </xdr:from>
    <xdr:ext cx="6162675" cy="76200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400050</xdr:colOff>
      <xdr:row>2</xdr:row>
      <xdr:rowOff>47625</xdr:rowOff>
    </xdr:from>
    <xdr:ext cx="4076700" cy="3695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352425</xdr:colOff>
      <xdr:row>0</xdr:row>
      <xdr:rowOff>0</xdr:rowOff>
    </xdr:from>
    <xdr:ext cx="6162675" cy="76200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4076700" cy="36957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352425</xdr:colOff>
      <xdr:row>0</xdr:row>
      <xdr:rowOff>0</xdr:rowOff>
    </xdr:from>
    <xdr:ext cx="6162675" cy="76200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2.88"/>
    <col customWidth="1" min="3" max="9" width="6.38"/>
    <col customWidth="1" min="10" max="10" width="13.0"/>
    <col customWidth="1" min="11" max="12" width="8.75"/>
    <col customWidth="1" min="13" max="13" width="13.0"/>
    <col customWidth="1" min="14" max="14" width="13.25"/>
    <col customWidth="1" min="17" max="17" width="1.38"/>
    <col customWidth="1" min="18" max="18" width="13.88"/>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2" t="s">
        <v>0</v>
      </c>
      <c r="C2" s="1"/>
      <c r="D2" s="1"/>
      <c r="E2" s="1"/>
      <c r="G2" s="1"/>
      <c r="H2" s="1"/>
      <c r="I2" s="1"/>
      <c r="J2" s="1"/>
      <c r="K2" s="1"/>
      <c r="L2" s="1"/>
      <c r="M2" s="1"/>
      <c r="N2" s="1"/>
      <c r="O2" s="3"/>
      <c r="P2" s="1"/>
      <c r="Q2" s="1"/>
      <c r="R2" s="1"/>
      <c r="S2" s="1"/>
      <c r="T2" s="1"/>
      <c r="U2" s="1"/>
      <c r="V2" s="1"/>
      <c r="W2" s="1"/>
      <c r="X2" s="1"/>
      <c r="Y2" s="1"/>
      <c r="Z2" s="1"/>
      <c r="AA2" s="1"/>
      <c r="AB2" s="1"/>
    </row>
    <row r="3">
      <c r="A3" s="1"/>
      <c r="B3" s="4" t="s">
        <v>1</v>
      </c>
      <c r="C3" s="1"/>
      <c r="D3" s="1"/>
      <c r="E3" s="1"/>
      <c r="F3" s="1"/>
      <c r="G3" s="1"/>
      <c r="H3" s="1"/>
      <c r="I3" s="1"/>
      <c r="J3" s="1"/>
      <c r="K3" s="1"/>
      <c r="L3" s="1"/>
      <c r="M3" s="1"/>
      <c r="N3" s="1"/>
      <c r="O3" s="1"/>
      <c r="P3" s="1"/>
      <c r="Q3" s="1"/>
      <c r="R3" s="1"/>
      <c r="S3" s="1"/>
      <c r="T3" s="1"/>
      <c r="U3" s="1"/>
      <c r="V3" s="1"/>
      <c r="W3" s="1"/>
      <c r="X3" s="1"/>
      <c r="Y3" s="1"/>
      <c r="Z3" s="1"/>
      <c r="AA3" s="1"/>
      <c r="AB3" s="1"/>
    </row>
    <row r="4">
      <c r="A4" s="5" t="s">
        <v>2</v>
      </c>
      <c r="B4" s="6"/>
      <c r="C4" s="1"/>
      <c r="D4" s="7"/>
      <c r="E4" s="8"/>
      <c r="F4" s="6"/>
      <c r="G4" s="7"/>
      <c r="H4" s="1"/>
      <c r="I4" s="1"/>
      <c r="J4" s="7"/>
      <c r="K4" s="1"/>
      <c r="L4" s="1"/>
      <c r="M4" s="1"/>
      <c r="N4" s="1"/>
      <c r="O4" s="1"/>
      <c r="P4" s="1"/>
      <c r="Q4" s="1"/>
      <c r="R4" s="1"/>
      <c r="S4" s="1"/>
      <c r="T4" s="1"/>
      <c r="U4" s="1"/>
      <c r="V4" s="1"/>
      <c r="W4" s="1"/>
      <c r="X4" s="1"/>
      <c r="Y4" s="1"/>
      <c r="Z4" s="1"/>
      <c r="AA4" s="1"/>
      <c r="AB4" s="1"/>
    </row>
    <row r="5">
      <c r="A5" s="9" t="s">
        <v>3</v>
      </c>
      <c r="B5" s="10"/>
      <c r="C5" s="10"/>
      <c r="D5" s="10"/>
      <c r="E5" s="10"/>
      <c r="F5" s="10"/>
      <c r="G5" s="10"/>
      <c r="H5" s="10"/>
      <c r="I5" s="10"/>
      <c r="J5" s="11"/>
      <c r="K5" s="1"/>
      <c r="L5" s="1"/>
      <c r="M5" s="1"/>
      <c r="N5" s="1"/>
      <c r="O5" s="1"/>
      <c r="P5" s="1"/>
      <c r="Q5" s="1"/>
      <c r="R5" s="1"/>
      <c r="S5" s="1"/>
      <c r="T5" s="1"/>
      <c r="U5" s="1"/>
      <c r="V5" s="1"/>
      <c r="W5" s="1"/>
      <c r="X5" s="1"/>
      <c r="Y5" s="1"/>
      <c r="Z5" s="1"/>
      <c r="AA5" s="1"/>
      <c r="AB5" s="1"/>
    </row>
    <row r="6">
      <c r="A6" s="8"/>
      <c r="B6" s="6"/>
      <c r="C6" s="1"/>
      <c r="D6" s="1"/>
      <c r="E6" s="12"/>
      <c r="F6" s="6"/>
      <c r="G6" s="7"/>
      <c r="H6" s="7"/>
      <c r="I6" s="1"/>
      <c r="J6" s="1"/>
      <c r="K6" s="1"/>
      <c r="L6" s="1"/>
      <c r="M6" s="1"/>
      <c r="N6" s="1"/>
      <c r="O6" s="1"/>
      <c r="P6" s="1"/>
      <c r="Q6" s="1"/>
      <c r="R6" s="1"/>
      <c r="S6" s="1"/>
      <c r="T6" s="1"/>
      <c r="U6" s="1"/>
      <c r="V6" s="1"/>
      <c r="W6" s="1"/>
      <c r="X6" s="1"/>
      <c r="Y6" s="1"/>
      <c r="Z6" s="1"/>
      <c r="AA6" s="1"/>
      <c r="AB6" s="1"/>
    </row>
    <row r="7">
      <c r="A7" s="13" t="s">
        <v>4</v>
      </c>
      <c r="C7" s="1"/>
      <c r="D7" s="1"/>
      <c r="E7" s="8"/>
      <c r="F7" s="6"/>
      <c r="G7" s="7"/>
      <c r="H7" s="1"/>
      <c r="I7" s="1"/>
      <c r="J7" s="1"/>
      <c r="K7" s="1"/>
      <c r="L7" s="1"/>
      <c r="M7" s="1"/>
      <c r="N7" s="1"/>
      <c r="O7" s="1"/>
      <c r="P7" s="1"/>
      <c r="Q7" s="1"/>
      <c r="R7" s="1"/>
      <c r="S7" s="1"/>
      <c r="T7" s="1"/>
      <c r="U7" s="1"/>
      <c r="V7" s="1"/>
      <c r="W7" s="1"/>
      <c r="X7" s="1"/>
      <c r="Y7" s="1"/>
      <c r="Z7" s="1"/>
      <c r="AA7" s="1"/>
      <c r="AB7" s="1"/>
    </row>
    <row r="8">
      <c r="A8" s="14" t="s">
        <v>5</v>
      </c>
      <c r="B8" s="15"/>
      <c r="C8" s="15"/>
      <c r="D8" s="15"/>
      <c r="E8" s="15"/>
      <c r="F8" s="15"/>
      <c r="G8" s="15"/>
      <c r="H8" s="15"/>
      <c r="I8" s="15"/>
      <c r="J8" s="6"/>
      <c r="K8" s="1"/>
      <c r="L8" s="1"/>
      <c r="M8" s="1"/>
      <c r="N8" s="1"/>
      <c r="O8" s="1"/>
      <c r="P8" s="1"/>
      <c r="Q8" s="1"/>
      <c r="R8" s="1"/>
      <c r="S8" s="1"/>
      <c r="T8" s="1"/>
      <c r="U8" s="1"/>
      <c r="V8" s="1"/>
      <c r="W8" s="1"/>
      <c r="X8" s="1"/>
      <c r="Y8" s="1"/>
      <c r="Z8" s="1"/>
      <c r="AA8" s="1"/>
      <c r="AB8" s="1"/>
    </row>
    <row r="9">
      <c r="A9" s="8"/>
      <c r="B9" s="6"/>
      <c r="C9" s="1"/>
      <c r="D9" s="1"/>
      <c r="E9" s="12"/>
      <c r="F9" s="6"/>
      <c r="G9" s="7"/>
      <c r="H9" s="1"/>
      <c r="I9" s="1"/>
      <c r="J9" s="1"/>
      <c r="K9" s="1"/>
      <c r="L9" s="1"/>
      <c r="M9" s="1"/>
      <c r="N9" s="1"/>
      <c r="O9" s="1"/>
      <c r="P9" s="1"/>
      <c r="Q9" s="1"/>
      <c r="R9" s="1"/>
      <c r="S9" s="1"/>
      <c r="T9" s="1"/>
      <c r="U9" s="1"/>
      <c r="V9" s="1"/>
      <c r="W9" s="1"/>
      <c r="X9" s="1"/>
      <c r="Y9" s="1"/>
      <c r="Z9" s="1"/>
      <c r="AA9" s="1"/>
      <c r="AB9" s="1"/>
    </row>
    <row r="10">
      <c r="A10" s="13" t="s">
        <v>6</v>
      </c>
      <c r="C10" s="1"/>
      <c r="D10" s="1"/>
      <c r="E10" s="12"/>
      <c r="F10" s="6"/>
      <c r="G10" s="7"/>
      <c r="H10" s="1"/>
      <c r="I10" s="1"/>
      <c r="J10" s="1"/>
      <c r="K10" s="1"/>
      <c r="L10" s="1"/>
      <c r="M10" s="1"/>
      <c r="N10" s="1"/>
      <c r="O10" s="1"/>
      <c r="P10" s="1"/>
      <c r="Q10" s="1"/>
      <c r="R10" s="1"/>
      <c r="S10" s="1"/>
      <c r="T10" s="1"/>
      <c r="U10" s="1"/>
      <c r="V10" s="1"/>
      <c r="W10" s="1"/>
      <c r="X10" s="1"/>
      <c r="Y10" s="1"/>
      <c r="Z10" s="1"/>
      <c r="AA10" s="1"/>
      <c r="AB10" s="1"/>
    </row>
    <row r="11">
      <c r="A11" s="8"/>
      <c r="B11" s="6"/>
      <c r="C11" s="1"/>
      <c r="D11" s="1"/>
      <c r="E11" s="12"/>
      <c r="F11" s="6"/>
      <c r="G11" s="7"/>
      <c r="H11" s="1"/>
      <c r="I11" s="1"/>
      <c r="J11" s="1"/>
      <c r="K11" s="1"/>
      <c r="L11" s="1"/>
      <c r="M11" s="1"/>
      <c r="N11" s="1"/>
      <c r="O11" s="1"/>
      <c r="P11" s="1"/>
      <c r="Q11" s="1"/>
      <c r="R11" s="1"/>
      <c r="S11" s="1"/>
      <c r="T11" s="1"/>
      <c r="U11" s="1"/>
      <c r="V11" s="1"/>
      <c r="W11" s="1"/>
      <c r="X11" s="1"/>
      <c r="Y11" s="1"/>
      <c r="Z11" s="1"/>
      <c r="AA11" s="1"/>
      <c r="AB11" s="1"/>
    </row>
    <row r="12">
      <c r="A12" s="14" t="s">
        <v>7</v>
      </c>
      <c r="B12" s="15"/>
      <c r="C12" s="15"/>
      <c r="D12" s="15"/>
      <c r="E12" s="15"/>
      <c r="F12" s="15"/>
      <c r="G12" s="16">
        <f>(P37+P38+P39+P40+P41)/E26</f>
        <v>0</v>
      </c>
      <c r="H12" s="17"/>
      <c r="I12" s="17"/>
      <c r="J12" s="18"/>
      <c r="K12" s="1"/>
      <c r="L12" s="1"/>
      <c r="M12" s="1"/>
      <c r="N12" s="1"/>
      <c r="O12" s="1"/>
      <c r="P12" s="1"/>
      <c r="Q12" s="1"/>
      <c r="R12" s="1"/>
      <c r="S12" s="1"/>
      <c r="T12" s="1"/>
      <c r="U12" s="1"/>
      <c r="V12" s="1"/>
      <c r="W12" s="1"/>
      <c r="X12" s="1"/>
      <c r="Y12" s="1"/>
      <c r="Z12" s="1"/>
      <c r="AA12" s="1"/>
      <c r="AB12" s="1"/>
    </row>
    <row r="13">
      <c r="A13" s="14" t="s">
        <v>8</v>
      </c>
      <c r="B13" s="15"/>
      <c r="C13" s="15"/>
      <c r="D13" s="15"/>
      <c r="E13" s="15"/>
      <c r="F13" s="15"/>
      <c r="G13" s="17">
        <f>(O37+O38+O39+O40+O41)/E26</f>
        <v>0</v>
      </c>
      <c r="H13" s="17"/>
      <c r="I13" s="17"/>
      <c r="J13" s="18"/>
      <c r="K13" s="1"/>
      <c r="L13" s="1"/>
      <c r="M13" s="1"/>
      <c r="N13" s="1"/>
      <c r="O13" s="1"/>
      <c r="P13" s="1"/>
      <c r="Q13" s="1"/>
      <c r="R13" s="1"/>
      <c r="S13" s="1"/>
      <c r="T13" s="1"/>
      <c r="U13" s="1"/>
      <c r="V13" s="1"/>
      <c r="W13" s="1"/>
      <c r="X13" s="1"/>
      <c r="Y13" s="1"/>
      <c r="Z13" s="1"/>
      <c r="AA13" s="1"/>
      <c r="AB13" s="1"/>
    </row>
    <row r="14">
      <c r="A14" s="8"/>
      <c r="B14" s="15"/>
      <c r="C14" s="6"/>
      <c r="D14" s="7"/>
      <c r="E14" s="19"/>
      <c r="F14" s="6"/>
      <c r="G14" s="1"/>
      <c r="H14" s="1"/>
      <c r="I14" s="1"/>
      <c r="J14" s="1"/>
      <c r="K14" s="1"/>
      <c r="L14" s="1"/>
      <c r="M14" s="1"/>
      <c r="N14" s="1"/>
      <c r="O14" s="1"/>
      <c r="P14" s="1"/>
      <c r="Q14" s="1"/>
      <c r="R14" s="1"/>
      <c r="S14" s="1"/>
      <c r="T14" s="1"/>
      <c r="U14" s="1"/>
      <c r="V14" s="1"/>
      <c r="W14" s="1"/>
      <c r="X14" s="1"/>
      <c r="Y14" s="1"/>
      <c r="Z14" s="1"/>
      <c r="AA14" s="1"/>
      <c r="AB14" s="1"/>
    </row>
    <row r="15">
      <c r="A15" s="20" t="s">
        <v>9</v>
      </c>
      <c r="B15" s="20"/>
      <c r="C15" s="7"/>
      <c r="D15" s="7"/>
      <c r="E15" s="19"/>
      <c r="F15" s="6"/>
      <c r="G15" s="7"/>
      <c r="H15" s="21"/>
      <c r="I15" s="1"/>
      <c r="J15" s="1"/>
      <c r="K15" s="1"/>
      <c r="L15" s="1"/>
      <c r="M15" s="1"/>
      <c r="N15" s="1"/>
      <c r="O15" s="1"/>
      <c r="P15" s="1"/>
      <c r="Q15" s="1"/>
      <c r="R15" s="1"/>
      <c r="S15" s="1"/>
      <c r="T15" s="1"/>
      <c r="U15" s="1"/>
      <c r="V15" s="1"/>
      <c r="W15" s="1"/>
      <c r="X15" s="1"/>
      <c r="Y15" s="1"/>
      <c r="Z15" s="1"/>
      <c r="AA15" s="1"/>
      <c r="AB15" s="1"/>
    </row>
    <row r="16">
      <c r="A16" s="7"/>
      <c r="B16" s="7"/>
      <c r="C16" s="7"/>
      <c r="D16" s="7"/>
      <c r="E16" s="8"/>
      <c r="F16" s="6"/>
      <c r="G16" s="1"/>
      <c r="H16" s="1"/>
      <c r="I16" s="1"/>
      <c r="J16" s="1"/>
      <c r="K16" s="1"/>
      <c r="L16" s="1"/>
      <c r="M16" s="1"/>
      <c r="N16" s="1"/>
      <c r="O16" s="1"/>
      <c r="P16" s="1"/>
      <c r="Q16" s="1"/>
      <c r="R16" s="1"/>
      <c r="S16" s="1"/>
      <c r="T16" s="1"/>
      <c r="U16" s="1"/>
      <c r="V16" s="1"/>
      <c r="W16" s="1"/>
      <c r="X16" s="1"/>
      <c r="Y16" s="1"/>
      <c r="Z16" s="1"/>
      <c r="AA16" s="1"/>
      <c r="AB16" s="1"/>
    </row>
    <row r="17">
      <c r="A17" s="8"/>
      <c r="B17" s="15"/>
      <c r="C17" s="15"/>
      <c r="D17" s="15"/>
      <c r="E17" s="15"/>
      <c r="F17" s="15"/>
      <c r="G17" s="15"/>
      <c r="H17" s="15"/>
      <c r="I17" s="15"/>
      <c r="J17" s="6"/>
      <c r="K17" s="1"/>
      <c r="L17" s="1"/>
      <c r="M17" s="1"/>
      <c r="N17" s="1"/>
      <c r="O17" s="1"/>
      <c r="P17" s="1"/>
      <c r="Q17" s="1"/>
      <c r="R17" s="1"/>
      <c r="S17" s="1"/>
      <c r="T17" s="1"/>
      <c r="U17" s="1"/>
      <c r="V17" s="1"/>
      <c r="W17" s="1"/>
      <c r="X17" s="1"/>
      <c r="Y17" s="1"/>
      <c r="Z17" s="1"/>
      <c r="AA17" s="1"/>
      <c r="AB17" s="1"/>
    </row>
    <row r="18">
      <c r="A18" s="7"/>
      <c r="B18" s="7"/>
      <c r="C18" s="7"/>
      <c r="D18" s="7"/>
      <c r="E18" s="7"/>
      <c r="F18" s="7"/>
      <c r="G18" s="1"/>
      <c r="H18" s="1"/>
      <c r="I18" s="1"/>
      <c r="J18" s="1"/>
      <c r="K18" s="1"/>
      <c r="L18" s="1"/>
      <c r="M18" s="1"/>
      <c r="N18" s="1"/>
      <c r="O18" s="1"/>
      <c r="P18" s="1"/>
      <c r="Q18" s="1"/>
      <c r="R18" s="1"/>
      <c r="S18" s="1"/>
      <c r="T18" s="1"/>
      <c r="U18" s="1"/>
      <c r="V18" s="1"/>
      <c r="W18" s="1"/>
      <c r="X18" s="1"/>
      <c r="Y18" s="1"/>
      <c r="Z18" s="1"/>
      <c r="AA18" s="1"/>
      <c r="AB18" s="1"/>
    </row>
    <row r="19">
      <c r="A19" s="7"/>
      <c r="B19" s="7"/>
      <c r="C19" s="7"/>
      <c r="D19" s="7"/>
      <c r="E19" s="7"/>
      <c r="F19" s="7"/>
      <c r="G19" s="1"/>
      <c r="H19" s="1"/>
      <c r="I19" s="1"/>
      <c r="J19" s="1"/>
      <c r="K19" s="1"/>
      <c r="L19" s="1"/>
      <c r="M19" s="1"/>
      <c r="N19" s="1"/>
      <c r="O19" s="1"/>
      <c r="P19" s="1"/>
      <c r="Q19" s="1"/>
      <c r="R19" s="1"/>
      <c r="S19" s="1"/>
      <c r="T19" s="1"/>
      <c r="U19" s="1"/>
      <c r="V19" s="1"/>
      <c r="W19" s="1"/>
      <c r="X19" s="1"/>
      <c r="Y19" s="1"/>
      <c r="Z19" s="1"/>
      <c r="AA19" s="1"/>
      <c r="AB19" s="1"/>
    </row>
    <row r="20">
      <c r="A20" s="7"/>
      <c r="B20" s="7"/>
      <c r="C20" s="7"/>
      <c r="D20" s="7"/>
      <c r="E20" s="7"/>
      <c r="F20" s="7"/>
      <c r="G20" s="1"/>
      <c r="H20" s="1"/>
      <c r="I20" s="1"/>
      <c r="J20" s="1"/>
      <c r="K20" s="1"/>
      <c r="L20" s="1"/>
      <c r="M20" s="1"/>
      <c r="N20" s="1"/>
      <c r="O20" s="1"/>
      <c r="P20" s="1"/>
      <c r="Q20" s="1"/>
      <c r="R20" s="1"/>
      <c r="S20" s="1"/>
      <c r="T20" s="1"/>
      <c r="U20" s="1"/>
      <c r="V20" s="1"/>
      <c r="W20" s="1"/>
      <c r="X20" s="1"/>
      <c r="Y20" s="1"/>
      <c r="Z20" s="1"/>
      <c r="AA20" s="1"/>
      <c r="AB20" s="1"/>
    </row>
    <row r="21">
      <c r="A21" s="7"/>
      <c r="B21" s="7"/>
      <c r="C21" s="7"/>
      <c r="D21" s="7"/>
      <c r="E21" s="7"/>
      <c r="F21" s="7"/>
      <c r="G21" s="1"/>
      <c r="H21" s="1"/>
      <c r="I21" s="1"/>
      <c r="J21" s="1"/>
      <c r="K21" s="1"/>
      <c r="L21" s="1"/>
      <c r="M21" s="1"/>
      <c r="N21" s="1"/>
      <c r="O21" s="1"/>
      <c r="P21" s="1"/>
      <c r="Q21" s="1"/>
      <c r="R21" s="1"/>
      <c r="S21" s="1"/>
      <c r="T21" s="1"/>
      <c r="U21" s="1"/>
      <c r="V21" s="1"/>
      <c r="W21" s="1"/>
      <c r="X21" s="1"/>
      <c r="Y21" s="1"/>
      <c r="Z21" s="1"/>
      <c r="AA21" s="1"/>
      <c r="AB21" s="1"/>
    </row>
    <row r="22">
      <c r="A22" s="22"/>
      <c r="B22" s="22"/>
      <c r="C22" s="22"/>
      <c r="D22" s="22"/>
      <c r="E22" s="22"/>
      <c r="F22" s="22"/>
      <c r="G22" s="23"/>
      <c r="H22" s="23"/>
      <c r="I22" s="23"/>
      <c r="J22" s="23"/>
      <c r="K22" s="1"/>
      <c r="L22" s="1"/>
      <c r="M22" s="1"/>
      <c r="N22" s="1"/>
      <c r="O22" s="1"/>
      <c r="P22" s="1"/>
      <c r="Q22" s="1"/>
      <c r="R22" s="1"/>
      <c r="S22" s="1"/>
      <c r="T22" s="1"/>
      <c r="U22" s="1"/>
      <c r="V22" s="1"/>
      <c r="W22" s="1"/>
      <c r="X22" s="1"/>
      <c r="Y22" s="1"/>
      <c r="Z22" s="1"/>
      <c r="AA22" s="1"/>
      <c r="AB22" s="1"/>
    </row>
    <row r="23">
      <c r="A23" s="24" t="s">
        <v>10</v>
      </c>
      <c r="B23" s="25"/>
      <c r="C23" s="25"/>
      <c r="D23" s="25"/>
      <c r="E23" s="25"/>
      <c r="F23" s="25"/>
      <c r="G23" s="26"/>
      <c r="H23" s="26"/>
      <c r="I23" s="26"/>
      <c r="J23" s="27"/>
      <c r="K23" s="28"/>
      <c r="L23" s="1"/>
      <c r="M23" s="1"/>
      <c r="N23" s="1"/>
      <c r="O23" s="1"/>
      <c r="P23" s="1"/>
      <c r="Q23" s="1"/>
      <c r="R23" s="1"/>
      <c r="S23" s="1"/>
      <c r="T23" s="1"/>
      <c r="U23" s="1"/>
      <c r="V23" s="1"/>
      <c r="W23" s="1"/>
      <c r="X23" s="1"/>
      <c r="Y23" s="1"/>
      <c r="Z23" s="1"/>
      <c r="AA23" s="1"/>
      <c r="AB23" s="1"/>
    </row>
    <row r="24">
      <c r="A24" s="29"/>
      <c r="B24" s="30" t="s">
        <v>11</v>
      </c>
      <c r="C24" s="31"/>
      <c r="D24" s="30" t="s">
        <v>12</v>
      </c>
      <c r="E24" s="30"/>
      <c r="F24" s="30"/>
      <c r="G24" s="32"/>
      <c r="H24" s="32"/>
      <c r="I24" s="32"/>
      <c r="J24" s="33"/>
      <c r="K24" s="28"/>
      <c r="L24" s="1"/>
      <c r="M24" s="1"/>
      <c r="N24" s="1"/>
      <c r="O24" s="1"/>
      <c r="P24" s="1"/>
      <c r="Q24" s="1"/>
      <c r="R24" s="1"/>
      <c r="S24" s="1"/>
      <c r="T24" s="1"/>
      <c r="U24" s="1"/>
      <c r="V24" s="1"/>
      <c r="W24" s="1"/>
      <c r="X24" s="1"/>
      <c r="Y24" s="1"/>
      <c r="Z24" s="1"/>
      <c r="AA24" s="1"/>
      <c r="AB24" s="1"/>
    </row>
    <row r="25">
      <c r="A25" s="34"/>
      <c r="B25" s="10"/>
      <c r="C25" s="11"/>
      <c r="D25" s="35"/>
      <c r="E25" s="36"/>
      <c r="F25" s="11"/>
      <c r="G25" s="35"/>
      <c r="H25" s="21"/>
      <c r="I25" s="37"/>
      <c r="J25" s="37"/>
      <c r="K25" s="1"/>
      <c r="L25" s="1"/>
      <c r="M25" s="1"/>
      <c r="N25" s="1"/>
      <c r="O25" s="1"/>
      <c r="P25" s="1"/>
      <c r="Q25" s="1"/>
      <c r="R25" s="1"/>
      <c r="S25" s="1"/>
      <c r="T25" s="1"/>
      <c r="U25" s="1"/>
      <c r="V25" s="1"/>
      <c r="W25" s="1"/>
      <c r="X25" s="1"/>
      <c r="Y25" s="1"/>
      <c r="Z25" s="1"/>
      <c r="AA25" s="1"/>
      <c r="AB25" s="1"/>
    </row>
    <row r="26">
      <c r="A26" s="14" t="s">
        <v>13</v>
      </c>
      <c r="B26" s="15"/>
      <c r="C26" s="6"/>
      <c r="D26" s="17"/>
      <c r="E26" s="38">
        <v>3.0</v>
      </c>
      <c r="F26" s="6"/>
      <c r="G26" s="1"/>
      <c r="H26" s="1"/>
      <c r="I26" s="1"/>
      <c r="J26" s="1"/>
      <c r="K26" s="1"/>
      <c r="L26" s="1"/>
      <c r="M26" s="1"/>
      <c r="N26" s="1"/>
      <c r="O26" s="1"/>
      <c r="P26" s="1"/>
      <c r="Q26" s="1"/>
      <c r="R26" s="1"/>
      <c r="S26" s="1"/>
      <c r="T26" s="1"/>
      <c r="U26" s="1"/>
      <c r="V26" s="1"/>
      <c r="W26" s="1"/>
      <c r="X26" s="1"/>
      <c r="Y26" s="1"/>
      <c r="Z26" s="1"/>
      <c r="AA26" s="1"/>
      <c r="AB26" s="1"/>
    </row>
    <row r="27">
      <c r="A27" s="7" t="s">
        <v>14</v>
      </c>
      <c r="B27" s="7"/>
      <c r="C27" s="7"/>
      <c r="D27" s="7" t="s">
        <v>15</v>
      </c>
      <c r="E27" s="8">
        <v>9.8</v>
      </c>
      <c r="F27" s="6"/>
      <c r="G27" s="7" t="s">
        <v>16</v>
      </c>
      <c r="H27" s="1"/>
      <c r="I27" s="1"/>
      <c r="J27" s="1"/>
      <c r="K27" s="1"/>
      <c r="L27" s="1"/>
      <c r="M27" s="1"/>
      <c r="N27" s="1"/>
      <c r="O27" s="1"/>
      <c r="P27" s="1"/>
      <c r="Q27" s="1"/>
      <c r="R27" s="1"/>
      <c r="S27" s="1"/>
      <c r="T27" s="1"/>
      <c r="U27" s="1"/>
      <c r="V27" s="1"/>
      <c r="W27" s="1"/>
      <c r="X27" s="1"/>
      <c r="Y27" s="1"/>
      <c r="Z27" s="1"/>
      <c r="AA27" s="1"/>
      <c r="AB27" s="1"/>
    </row>
    <row r="28">
      <c r="A28" s="39"/>
      <c r="B28" s="7"/>
      <c r="C28" s="7"/>
      <c r="D28" s="7"/>
      <c r="E28" s="7"/>
      <c r="F28" s="7"/>
      <c r="G28" s="7"/>
      <c r="H28" s="1"/>
      <c r="I28" s="1"/>
      <c r="J28" s="1"/>
      <c r="K28" s="1"/>
      <c r="L28" s="1"/>
      <c r="M28" s="1"/>
      <c r="N28" s="1"/>
      <c r="O28" s="1"/>
      <c r="P28" s="1"/>
      <c r="Q28" s="1"/>
      <c r="R28" s="1"/>
      <c r="S28" s="1"/>
      <c r="T28" s="1"/>
      <c r="U28" s="1"/>
      <c r="V28" s="1"/>
      <c r="W28" s="1"/>
      <c r="X28" s="1"/>
      <c r="Y28" s="1"/>
      <c r="Z28" s="1"/>
      <c r="AA28" s="1"/>
      <c r="AB28" s="1"/>
    </row>
    <row r="29">
      <c r="A29" s="20" t="s">
        <v>17</v>
      </c>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39"/>
      <c r="B30" s="7"/>
      <c r="C30" s="7"/>
      <c r="D30" s="7"/>
      <c r="E30" s="7"/>
      <c r="F30" s="1"/>
      <c r="G30" s="1"/>
      <c r="H30" s="1"/>
      <c r="I30" s="1"/>
      <c r="J30" s="1"/>
      <c r="K30" s="1"/>
      <c r="L30" s="1"/>
      <c r="M30" s="1"/>
      <c r="N30" s="1"/>
      <c r="O30" s="1"/>
      <c r="P30" s="1"/>
      <c r="Q30" s="1"/>
      <c r="R30" s="1"/>
      <c r="S30" s="1"/>
      <c r="T30" s="1"/>
      <c r="U30" s="1"/>
      <c r="V30" s="1"/>
      <c r="W30" s="1"/>
      <c r="X30" s="1"/>
      <c r="Y30" s="1"/>
      <c r="Z30" s="1"/>
      <c r="AA30" s="1"/>
      <c r="AB30" s="1"/>
    </row>
    <row r="31">
      <c r="A31" s="40">
        <v>1.0</v>
      </c>
      <c r="B31" s="14" t="s">
        <v>18</v>
      </c>
      <c r="C31" s="6"/>
      <c r="D31" s="7">
        <v>25.0</v>
      </c>
      <c r="E31" s="7" t="s">
        <v>19</v>
      </c>
      <c r="F31" s="7" t="s">
        <v>20</v>
      </c>
      <c r="G31" s="1">
        <f t="shared" ref="G31:G32" si="1">D31/1000</f>
        <v>0.025</v>
      </c>
      <c r="H31" s="7" t="s">
        <v>21</v>
      </c>
      <c r="I31" s="1"/>
      <c r="J31" s="1"/>
      <c r="K31" s="1"/>
      <c r="L31" s="1"/>
      <c r="M31" s="1"/>
      <c r="N31" s="1"/>
      <c r="O31" s="1"/>
      <c r="P31" s="1"/>
      <c r="Q31" s="1"/>
      <c r="R31" s="1"/>
      <c r="S31" s="1"/>
      <c r="T31" s="1"/>
      <c r="U31" s="1"/>
      <c r="V31" s="1"/>
      <c r="W31" s="1"/>
      <c r="X31" s="1"/>
      <c r="Y31" s="1"/>
      <c r="Z31" s="1"/>
      <c r="AA31" s="1"/>
      <c r="AB31" s="1"/>
    </row>
    <row r="32">
      <c r="A32" s="40">
        <v>2.0</v>
      </c>
      <c r="B32" s="14" t="s">
        <v>22</v>
      </c>
      <c r="C32" s="6"/>
      <c r="D32" s="7">
        <v>400.0</v>
      </c>
      <c r="E32" s="7" t="s">
        <v>19</v>
      </c>
      <c r="F32" s="7" t="s">
        <v>20</v>
      </c>
      <c r="G32" s="1">
        <f t="shared" si="1"/>
        <v>0.4</v>
      </c>
      <c r="H32" s="7" t="s">
        <v>21</v>
      </c>
      <c r="I32" s="1"/>
      <c r="J32" s="1"/>
      <c r="K32" s="1"/>
      <c r="L32" s="1"/>
      <c r="M32" s="1"/>
      <c r="N32" s="1"/>
      <c r="O32" s="1"/>
      <c r="P32" s="1"/>
      <c r="Q32" s="1"/>
      <c r="R32" s="1"/>
      <c r="S32" s="1"/>
      <c r="T32" s="1"/>
      <c r="U32" s="1"/>
      <c r="V32" s="1"/>
      <c r="W32" s="1"/>
      <c r="X32" s="1"/>
      <c r="Y32" s="1"/>
      <c r="Z32" s="1"/>
      <c r="AA32" s="1"/>
      <c r="AB32" s="1"/>
    </row>
    <row r="33">
      <c r="A33" s="40">
        <v>3.0</v>
      </c>
      <c r="B33" s="14" t="s">
        <v>23</v>
      </c>
      <c r="C33" s="6"/>
      <c r="D33" s="7" t="s">
        <v>24</v>
      </c>
      <c r="E33" s="1"/>
      <c r="F33" s="1"/>
      <c r="G33" s="1"/>
      <c r="H33" s="1"/>
      <c r="I33" s="1"/>
      <c r="J33" s="1"/>
      <c r="K33" s="1"/>
      <c r="L33" s="1"/>
      <c r="M33" s="1"/>
      <c r="N33" s="1"/>
      <c r="O33" s="1"/>
      <c r="P33" s="1"/>
      <c r="Q33" s="1"/>
      <c r="R33" s="1"/>
      <c r="S33" s="1"/>
      <c r="T33" s="1"/>
      <c r="U33" s="1"/>
      <c r="V33" s="1"/>
      <c r="W33" s="1"/>
      <c r="X33" s="1"/>
      <c r="Y33" s="1"/>
      <c r="Z33" s="1"/>
      <c r="AA33" s="1"/>
      <c r="AB33" s="1"/>
    </row>
    <row r="34">
      <c r="A34" s="1"/>
      <c r="B34" s="23"/>
      <c r="C34" s="23"/>
      <c r="D34" s="23"/>
      <c r="E34" s="23"/>
      <c r="F34" s="23"/>
      <c r="G34" s="23"/>
      <c r="H34" s="23"/>
      <c r="I34" s="23"/>
      <c r="J34" s="23"/>
      <c r="K34" s="23"/>
      <c r="L34" s="23"/>
      <c r="M34" s="23"/>
      <c r="N34" s="23"/>
      <c r="O34" s="23"/>
      <c r="P34" s="23"/>
      <c r="Q34" s="1"/>
      <c r="R34" s="1"/>
      <c r="S34" s="1"/>
      <c r="T34" s="1"/>
      <c r="U34" s="1"/>
      <c r="V34" s="1"/>
      <c r="W34" s="1"/>
      <c r="X34" s="1"/>
      <c r="Y34" s="1"/>
      <c r="Z34" s="1"/>
      <c r="AA34" s="1"/>
      <c r="AB34" s="1"/>
    </row>
    <row r="35">
      <c r="A35" s="41"/>
      <c r="B35" s="42" t="s">
        <v>25</v>
      </c>
      <c r="C35" s="43" t="s">
        <v>26</v>
      </c>
      <c r="D35" s="44"/>
      <c r="E35" s="44"/>
      <c r="F35" s="44"/>
      <c r="G35" s="44"/>
      <c r="H35" s="44"/>
      <c r="I35" s="44"/>
      <c r="J35" s="45"/>
      <c r="K35" s="46" t="s">
        <v>27</v>
      </c>
      <c r="L35" s="46" t="s">
        <v>28</v>
      </c>
      <c r="M35" s="46" t="s">
        <v>29</v>
      </c>
      <c r="N35" s="46" t="s">
        <v>30</v>
      </c>
      <c r="O35" s="46" t="s">
        <v>31</v>
      </c>
      <c r="P35" s="46" t="s">
        <v>32</v>
      </c>
      <c r="Q35" s="47"/>
      <c r="R35" s="1"/>
      <c r="S35" s="1"/>
      <c r="T35" s="1"/>
      <c r="U35" s="1"/>
      <c r="V35" s="1"/>
      <c r="W35" s="1"/>
      <c r="X35" s="1"/>
      <c r="Y35" s="1"/>
      <c r="Z35" s="1"/>
      <c r="AA35" s="1"/>
      <c r="AB35" s="1"/>
    </row>
    <row r="36">
      <c r="A36" s="41"/>
      <c r="B36" s="48"/>
      <c r="C36" s="49" t="s">
        <v>33</v>
      </c>
      <c r="D36" s="49" t="s">
        <v>34</v>
      </c>
      <c r="E36" s="49" t="s">
        <v>35</v>
      </c>
      <c r="F36" s="49" t="s">
        <v>36</v>
      </c>
      <c r="G36" s="49" t="s">
        <v>37</v>
      </c>
      <c r="H36" s="49" t="s">
        <v>38</v>
      </c>
      <c r="I36" s="49" t="s">
        <v>39</v>
      </c>
      <c r="J36" s="49" t="s">
        <v>40</v>
      </c>
      <c r="K36" s="48"/>
      <c r="L36" s="48"/>
      <c r="M36" s="48"/>
      <c r="N36" s="48"/>
      <c r="O36" s="48"/>
      <c r="P36" s="48"/>
      <c r="Q36" s="47"/>
      <c r="R36" s="1"/>
      <c r="S36" s="1"/>
      <c r="T36" s="1"/>
      <c r="U36" s="1"/>
      <c r="V36" s="1"/>
      <c r="W36" s="1"/>
      <c r="X36" s="1"/>
      <c r="Y36" s="1"/>
      <c r="Z36" s="1"/>
      <c r="AA36" s="1"/>
      <c r="AB36" s="1"/>
    </row>
    <row r="37">
      <c r="A37" s="41"/>
      <c r="B37" s="49">
        <v>1.0</v>
      </c>
      <c r="C37" s="50">
        <v>0.0</v>
      </c>
      <c r="D37" s="50">
        <v>0.0</v>
      </c>
      <c r="E37" s="50">
        <v>0.0</v>
      </c>
      <c r="F37" s="50">
        <v>0.0</v>
      </c>
      <c r="G37" s="50">
        <v>0.0</v>
      </c>
      <c r="H37" s="50">
        <v>0.0</v>
      </c>
      <c r="I37" s="50">
        <v>0.0</v>
      </c>
      <c r="J37" s="50">
        <v>1.0</v>
      </c>
      <c r="K37" s="51">
        <f t="shared" ref="K37:K41" si="2">(C37+D37+E37+F37+G37+H37+I37)/7</f>
        <v>0</v>
      </c>
      <c r="L37" s="51">
        <f t="shared" ref="L37:L41" si="3">(K37+J37)/2</f>
        <v>0.5</v>
      </c>
      <c r="M37" s="52">
        <f t="shared" ref="M37:M41" si="4">($E$27*($G$32^3)*(1/(L37+273))*(K37-J37))/(M45^2)</f>
        <v>-0.2293235832</v>
      </c>
      <c r="N37" s="52">
        <f t="shared" ref="N37:N41" si="5">M37*N45</f>
        <v>0</v>
      </c>
      <c r="O37" s="52">
        <f t="shared" ref="O37:O41" si="6">(P45*O45)/$G$32</f>
        <v>0</v>
      </c>
      <c r="P37" s="53">
        <f t="shared" ref="P37:P41" si="7">G45/((22/7)*$G$31*$G$32*(K37-J37))</f>
        <v>0</v>
      </c>
      <c r="Q37" s="54"/>
      <c r="R37" s="1"/>
      <c r="S37" s="1"/>
      <c r="T37" s="1"/>
      <c r="U37" s="1"/>
      <c r="V37" s="1"/>
      <c r="W37" s="1"/>
      <c r="X37" s="1"/>
      <c r="Y37" s="1"/>
      <c r="Z37" s="1"/>
      <c r="AA37" s="1"/>
      <c r="AB37" s="1"/>
    </row>
    <row r="38">
      <c r="A38" s="41"/>
      <c r="B38" s="49">
        <v>2.0</v>
      </c>
      <c r="C38" s="50">
        <v>0.0</v>
      </c>
      <c r="D38" s="50">
        <v>0.0</v>
      </c>
      <c r="E38" s="50">
        <v>0.0</v>
      </c>
      <c r="F38" s="50">
        <v>0.0</v>
      </c>
      <c r="G38" s="50">
        <v>0.0</v>
      </c>
      <c r="H38" s="50">
        <v>0.0</v>
      </c>
      <c r="I38" s="50">
        <v>0.0</v>
      </c>
      <c r="J38" s="50">
        <v>1.0</v>
      </c>
      <c r="K38" s="51">
        <f t="shared" si="2"/>
        <v>0</v>
      </c>
      <c r="L38" s="51">
        <f t="shared" si="3"/>
        <v>0.5</v>
      </c>
      <c r="M38" s="52">
        <f t="shared" si="4"/>
        <v>-0.2293235832</v>
      </c>
      <c r="N38" s="52">
        <f t="shared" si="5"/>
        <v>0</v>
      </c>
      <c r="O38" s="52">
        <f t="shared" si="6"/>
        <v>0</v>
      </c>
      <c r="P38" s="53">
        <f t="shared" si="7"/>
        <v>0</v>
      </c>
      <c r="Q38" s="54"/>
      <c r="R38" s="1"/>
      <c r="S38" s="1"/>
      <c r="T38" s="1"/>
      <c r="U38" s="1"/>
      <c r="V38" s="1"/>
      <c r="W38" s="1"/>
      <c r="X38" s="1"/>
      <c r="Y38" s="1"/>
      <c r="Z38" s="1"/>
      <c r="AA38" s="1"/>
      <c r="AB38" s="1"/>
    </row>
    <row r="39">
      <c r="A39" s="41"/>
      <c r="B39" s="49">
        <v>3.0</v>
      </c>
      <c r="C39" s="50">
        <v>0.0</v>
      </c>
      <c r="D39" s="50">
        <v>0.0</v>
      </c>
      <c r="E39" s="50">
        <v>0.0</v>
      </c>
      <c r="F39" s="50">
        <v>0.0</v>
      </c>
      <c r="G39" s="50">
        <v>0.0</v>
      </c>
      <c r="H39" s="50">
        <v>0.0</v>
      </c>
      <c r="I39" s="50">
        <v>0.0</v>
      </c>
      <c r="J39" s="50">
        <v>1.0</v>
      </c>
      <c r="K39" s="51">
        <f t="shared" si="2"/>
        <v>0</v>
      </c>
      <c r="L39" s="51">
        <f t="shared" si="3"/>
        <v>0.5</v>
      </c>
      <c r="M39" s="52">
        <f t="shared" si="4"/>
        <v>-0.2293235832</v>
      </c>
      <c r="N39" s="52">
        <f t="shared" si="5"/>
        <v>0</v>
      </c>
      <c r="O39" s="52">
        <f t="shared" si="6"/>
        <v>0</v>
      </c>
      <c r="P39" s="53">
        <f t="shared" si="7"/>
        <v>0</v>
      </c>
      <c r="Q39" s="55"/>
      <c r="R39" s="1"/>
      <c r="S39" s="1"/>
      <c r="T39" s="1"/>
      <c r="U39" s="1"/>
      <c r="V39" s="1"/>
      <c r="W39" s="1"/>
      <c r="X39" s="1"/>
      <c r="Y39" s="1"/>
      <c r="Z39" s="1"/>
      <c r="AA39" s="1"/>
      <c r="AB39" s="1"/>
    </row>
    <row r="40">
      <c r="A40" s="41"/>
      <c r="B40" s="49">
        <v>4.0</v>
      </c>
      <c r="C40" s="50">
        <v>0.0</v>
      </c>
      <c r="D40" s="50">
        <v>0.0</v>
      </c>
      <c r="E40" s="50">
        <v>0.0</v>
      </c>
      <c r="F40" s="50">
        <v>0.0</v>
      </c>
      <c r="G40" s="50">
        <v>0.0</v>
      </c>
      <c r="H40" s="50">
        <v>0.0</v>
      </c>
      <c r="I40" s="50">
        <v>0.0</v>
      </c>
      <c r="J40" s="50">
        <v>1.0</v>
      </c>
      <c r="K40" s="51">
        <f t="shared" si="2"/>
        <v>0</v>
      </c>
      <c r="L40" s="51">
        <f t="shared" si="3"/>
        <v>0.5</v>
      </c>
      <c r="M40" s="52">
        <f t="shared" si="4"/>
        <v>-0.2293235832</v>
      </c>
      <c r="N40" s="52">
        <f t="shared" si="5"/>
        <v>0</v>
      </c>
      <c r="O40" s="52">
        <f t="shared" si="6"/>
        <v>0</v>
      </c>
      <c r="P40" s="53">
        <f t="shared" si="7"/>
        <v>0</v>
      </c>
      <c r="Q40" s="55"/>
      <c r="R40" s="1"/>
      <c r="S40" s="1"/>
      <c r="T40" s="1"/>
      <c r="U40" s="1"/>
      <c r="V40" s="1"/>
      <c r="W40" s="1"/>
      <c r="X40" s="1"/>
      <c r="Y40" s="1"/>
      <c r="Z40" s="1"/>
      <c r="AA40" s="1"/>
      <c r="AB40" s="1"/>
    </row>
    <row r="41">
      <c r="A41" s="41"/>
      <c r="B41" s="49">
        <v>5.0</v>
      </c>
      <c r="C41" s="50">
        <v>0.0</v>
      </c>
      <c r="D41" s="50">
        <v>0.0</v>
      </c>
      <c r="E41" s="50">
        <v>0.0</v>
      </c>
      <c r="F41" s="50">
        <v>0.0</v>
      </c>
      <c r="G41" s="50">
        <v>0.0</v>
      </c>
      <c r="H41" s="50">
        <v>0.0</v>
      </c>
      <c r="I41" s="50">
        <v>0.0</v>
      </c>
      <c r="J41" s="50">
        <v>1.0</v>
      </c>
      <c r="K41" s="51">
        <f t="shared" si="2"/>
        <v>0</v>
      </c>
      <c r="L41" s="51">
        <f t="shared" si="3"/>
        <v>0.5</v>
      </c>
      <c r="M41" s="52">
        <f t="shared" si="4"/>
        <v>-0.2293235832</v>
      </c>
      <c r="N41" s="52">
        <f t="shared" si="5"/>
        <v>0</v>
      </c>
      <c r="O41" s="52">
        <f t="shared" si="6"/>
        <v>0</v>
      </c>
      <c r="P41" s="53">
        <f t="shared" si="7"/>
        <v>0</v>
      </c>
      <c r="Q41" s="55"/>
      <c r="R41" s="1"/>
      <c r="S41" s="1"/>
      <c r="T41" s="1"/>
      <c r="U41" s="1"/>
      <c r="V41" s="1"/>
      <c r="W41" s="1"/>
      <c r="X41" s="1"/>
      <c r="Y41" s="1"/>
      <c r="Z41" s="1"/>
      <c r="AA41" s="1"/>
      <c r="AB41" s="1"/>
    </row>
    <row r="42">
      <c r="A42" s="1"/>
      <c r="B42" s="56"/>
      <c r="C42" s="56"/>
      <c r="D42" s="56"/>
      <c r="E42" s="56"/>
      <c r="F42" s="56"/>
      <c r="G42" s="56"/>
      <c r="H42" s="56"/>
      <c r="I42" s="37"/>
      <c r="J42" s="37"/>
      <c r="K42" s="37"/>
      <c r="L42" s="37"/>
      <c r="M42" s="37"/>
      <c r="N42" s="37"/>
      <c r="O42" s="37"/>
      <c r="P42" s="37"/>
      <c r="Q42" s="1"/>
      <c r="R42" s="1"/>
      <c r="S42" s="1"/>
      <c r="T42" s="1"/>
      <c r="U42" s="1"/>
      <c r="V42" s="1"/>
      <c r="W42" s="1"/>
      <c r="X42" s="1"/>
      <c r="Y42" s="1"/>
      <c r="Z42" s="1"/>
      <c r="AA42" s="1"/>
      <c r="AB42" s="1"/>
    </row>
    <row r="43">
      <c r="A43" s="41"/>
      <c r="B43" s="42" t="s">
        <v>25</v>
      </c>
      <c r="C43" s="57" t="s">
        <v>41</v>
      </c>
      <c r="D43" s="44"/>
      <c r="E43" s="44"/>
      <c r="F43" s="44"/>
      <c r="G43" s="44"/>
      <c r="H43" s="45"/>
      <c r="I43" s="28"/>
      <c r="J43" s="1"/>
      <c r="K43" s="1"/>
      <c r="L43" s="1"/>
      <c r="M43" s="58" t="s">
        <v>42</v>
      </c>
      <c r="N43" s="58" t="s">
        <v>43</v>
      </c>
      <c r="O43" s="58" t="s">
        <v>44</v>
      </c>
      <c r="P43" s="1"/>
      <c r="Q43" s="1"/>
      <c r="R43" s="1"/>
      <c r="S43" s="1"/>
      <c r="T43" s="1"/>
      <c r="U43" s="1"/>
      <c r="V43" s="1"/>
      <c r="W43" s="1"/>
      <c r="X43" s="1"/>
      <c r="Y43" s="1"/>
      <c r="Z43" s="1"/>
      <c r="AA43" s="1"/>
      <c r="AB43" s="1"/>
    </row>
    <row r="44">
      <c r="A44" s="41"/>
      <c r="B44" s="48"/>
      <c r="C44" s="43" t="s">
        <v>45</v>
      </c>
      <c r="D44" s="45"/>
      <c r="E44" s="43" t="s">
        <v>46</v>
      </c>
      <c r="F44" s="45"/>
      <c r="G44" s="43" t="s">
        <v>47</v>
      </c>
      <c r="H44" s="45"/>
      <c r="I44" s="28"/>
      <c r="J44" s="1"/>
      <c r="K44" s="1"/>
      <c r="L44" s="1"/>
      <c r="P44" s="59" t="s">
        <v>48</v>
      </c>
      <c r="Q44" s="7" t="s">
        <v>48</v>
      </c>
      <c r="R44" s="1"/>
      <c r="S44" s="1"/>
      <c r="T44" s="1"/>
      <c r="U44" s="1"/>
      <c r="V44" s="1"/>
      <c r="W44" s="1"/>
      <c r="X44" s="1"/>
      <c r="Y44" s="1"/>
      <c r="Z44" s="1"/>
      <c r="AA44" s="1"/>
      <c r="AB44" s="1"/>
    </row>
    <row r="45">
      <c r="A45" s="41"/>
      <c r="B45" s="49">
        <v>1.0</v>
      </c>
      <c r="C45" s="60">
        <v>0.0</v>
      </c>
      <c r="D45" s="45"/>
      <c r="E45" s="60">
        <v>0.0</v>
      </c>
      <c r="F45" s="45"/>
      <c r="G45" s="60">
        <v>0.0</v>
      </c>
      <c r="H45" s="45"/>
      <c r="I45" s="28"/>
      <c r="J45" s="1"/>
      <c r="K45" s="1"/>
      <c r="L45" s="1"/>
      <c r="M45" s="61">
        <v>0.1</v>
      </c>
      <c r="N45" s="61"/>
      <c r="O45" s="61"/>
      <c r="P45" s="62">
        <f t="shared" ref="P45:P49" si="8">IFS((10^4)&lt;N37&lt;(10^8),(0.56*(N37^0.25)),N37&gt;(10^8),(0.13*(N37^(1/3))),N37&lt;(10^4),0)</f>
        <v>0</v>
      </c>
      <c r="Q45" s="1" t="str">
        <f t="shared" ref="Q45:Q49" si="9">IFS((10^4)&lt;N37&lt;(10^8),(0.56*(N37^0.25)),N37&gt;(10^8),(0.13*(N37^(1/3))),N37&lt;(10^4),$B$87)</f>
        <v>Invalid 'Ra' Value or less than 10^4</v>
      </c>
      <c r="R45" s="1"/>
      <c r="S45" s="1"/>
      <c r="T45" s="1"/>
      <c r="U45" s="1"/>
      <c r="V45" s="1"/>
      <c r="W45" s="1"/>
      <c r="X45" s="1"/>
      <c r="Y45" s="1"/>
      <c r="Z45" s="1"/>
      <c r="AA45" s="1"/>
      <c r="AB45" s="1"/>
    </row>
    <row r="46">
      <c r="A46" s="41"/>
      <c r="B46" s="49">
        <v>2.0</v>
      </c>
      <c r="C46" s="60">
        <v>0.0</v>
      </c>
      <c r="D46" s="45"/>
      <c r="E46" s="60">
        <v>0.0</v>
      </c>
      <c r="F46" s="45"/>
      <c r="G46" s="60">
        <v>0.0</v>
      </c>
      <c r="H46" s="45"/>
      <c r="I46" s="28"/>
      <c r="J46" s="1"/>
      <c r="K46" s="1"/>
      <c r="L46" s="1"/>
      <c r="M46" s="61">
        <v>0.1</v>
      </c>
      <c r="N46" s="61"/>
      <c r="O46" s="61"/>
      <c r="P46" s="62">
        <f t="shared" si="8"/>
        <v>0</v>
      </c>
      <c r="Q46" s="1" t="str">
        <f t="shared" si="9"/>
        <v>Invalid 'Ra' Value or less than 10^4</v>
      </c>
      <c r="R46" s="1"/>
      <c r="S46" s="1"/>
      <c r="T46" s="1"/>
      <c r="U46" s="1"/>
      <c r="V46" s="1"/>
      <c r="W46" s="1"/>
      <c r="X46" s="1"/>
      <c r="Y46" s="1"/>
      <c r="Z46" s="1"/>
      <c r="AA46" s="1"/>
      <c r="AB46" s="1"/>
    </row>
    <row r="47">
      <c r="A47" s="41"/>
      <c r="B47" s="49">
        <v>3.0</v>
      </c>
      <c r="C47" s="60">
        <v>0.0</v>
      </c>
      <c r="D47" s="45"/>
      <c r="E47" s="60">
        <v>0.0</v>
      </c>
      <c r="F47" s="45"/>
      <c r="G47" s="60">
        <v>0.0</v>
      </c>
      <c r="H47" s="45"/>
      <c r="I47" s="28"/>
      <c r="J47" s="1"/>
      <c r="K47" s="1"/>
      <c r="L47" s="1"/>
      <c r="M47" s="61">
        <v>0.1</v>
      </c>
      <c r="N47" s="61"/>
      <c r="O47" s="61"/>
      <c r="P47" s="62">
        <f t="shared" si="8"/>
        <v>0</v>
      </c>
      <c r="Q47" s="1" t="str">
        <f t="shared" si="9"/>
        <v>Invalid 'Ra' Value or less than 10^4</v>
      </c>
      <c r="R47" s="1"/>
      <c r="S47" s="1"/>
      <c r="T47" s="1"/>
      <c r="U47" s="1"/>
      <c r="V47" s="1"/>
      <c r="W47" s="1"/>
      <c r="X47" s="1"/>
      <c r="Y47" s="1"/>
      <c r="Z47" s="1"/>
      <c r="AA47" s="1"/>
      <c r="AB47" s="1"/>
    </row>
    <row r="48">
      <c r="A48" s="41"/>
      <c r="B48" s="49">
        <v>4.0</v>
      </c>
      <c r="C48" s="60"/>
      <c r="D48" s="45"/>
      <c r="E48" s="60"/>
      <c r="F48" s="45"/>
      <c r="G48" s="60"/>
      <c r="H48" s="45"/>
      <c r="I48" s="28"/>
      <c r="J48" s="1"/>
      <c r="K48" s="1"/>
      <c r="L48" s="1"/>
      <c r="M48" s="61">
        <v>0.1</v>
      </c>
      <c r="N48" s="63"/>
      <c r="O48" s="63"/>
      <c r="P48" s="62">
        <f t="shared" si="8"/>
        <v>0</v>
      </c>
      <c r="Q48" s="1" t="str">
        <f t="shared" si="9"/>
        <v>Invalid 'Ra' Value or less than 10^4</v>
      </c>
      <c r="R48" s="1"/>
      <c r="S48" s="1"/>
      <c r="T48" s="1"/>
      <c r="U48" s="1"/>
      <c r="V48" s="1"/>
      <c r="W48" s="1"/>
      <c r="X48" s="1"/>
      <c r="Y48" s="1"/>
      <c r="Z48" s="1"/>
      <c r="AA48" s="1"/>
      <c r="AB48" s="1"/>
    </row>
    <row r="49">
      <c r="A49" s="41"/>
      <c r="B49" s="49">
        <v>5.0</v>
      </c>
      <c r="C49" s="60"/>
      <c r="D49" s="45"/>
      <c r="E49" s="60"/>
      <c r="F49" s="45"/>
      <c r="G49" s="60"/>
      <c r="H49" s="45"/>
      <c r="I49" s="28"/>
      <c r="J49" s="1"/>
      <c r="K49" s="1"/>
      <c r="L49" s="1"/>
      <c r="M49" s="61">
        <v>0.1</v>
      </c>
      <c r="N49" s="63"/>
      <c r="O49" s="63"/>
      <c r="P49" s="62">
        <f t="shared" si="8"/>
        <v>0</v>
      </c>
      <c r="Q49" s="1" t="str">
        <f t="shared" si="9"/>
        <v>Invalid 'Ra' Value or less than 10^4</v>
      </c>
      <c r="R49" s="1"/>
      <c r="S49" s="1"/>
      <c r="T49" s="1"/>
      <c r="U49" s="1"/>
      <c r="V49" s="1"/>
      <c r="W49" s="1"/>
      <c r="X49" s="1"/>
      <c r="Y49" s="1"/>
      <c r="Z49" s="1"/>
      <c r="AA49" s="1"/>
      <c r="AB49" s="1"/>
    </row>
    <row r="50">
      <c r="A50" s="1"/>
      <c r="B50" s="37"/>
      <c r="C50" s="37"/>
      <c r="D50" s="37"/>
      <c r="E50" s="37"/>
      <c r="F50" s="37"/>
      <c r="G50" s="37"/>
      <c r="H50" s="37"/>
      <c r="I50" s="1"/>
      <c r="J50" s="1"/>
      <c r="K50" s="1"/>
      <c r="L50" s="1"/>
      <c r="M50" s="64" t="s">
        <v>49</v>
      </c>
      <c r="N50" s="10"/>
      <c r="O50" s="11"/>
      <c r="P50" s="1"/>
      <c r="Q50" s="1"/>
      <c r="R50" s="1"/>
      <c r="S50" s="1"/>
      <c r="T50" s="1"/>
      <c r="U50" s="1"/>
      <c r="V50" s="1"/>
      <c r="W50" s="1"/>
      <c r="X50" s="1"/>
      <c r="Y50" s="1"/>
      <c r="Z50" s="1"/>
      <c r="AA50" s="1"/>
      <c r="AB50" s="1"/>
    </row>
    <row r="51">
      <c r="A51" s="13" t="s">
        <v>50</v>
      </c>
      <c r="B51" s="1"/>
      <c r="D51" s="65" t="s">
        <v>51</v>
      </c>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7" t="s">
        <v>52</v>
      </c>
      <c r="C53" s="1"/>
      <c r="D53" s="1"/>
      <c r="E53" s="1"/>
      <c r="F53" s="1"/>
      <c r="G53" s="1"/>
      <c r="H53" s="1"/>
      <c r="I53" s="1"/>
      <c r="J53" s="66">
        <f>K37</f>
        <v>0</v>
      </c>
      <c r="K53" s="67" t="s">
        <v>53</v>
      </c>
      <c r="L53" s="1"/>
      <c r="M53" s="1"/>
      <c r="N53" s="1"/>
      <c r="O53" s="1"/>
      <c r="P53" s="1"/>
      <c r="Q53" s="1"/>
      <c r="R53" s="1"/>
      <c r="S53" s="1"/>
      <c r="T53" s="1"/>
      <c r="U53" s="1"/>
      <c r="V53" s="1"/>
      <c r="W53" s="1"/>
      <c r="X53" s="1"/>
      <c r="Y53" s="1"/>
      <c r="Z53" s="1"/>
      <c r="AA53" s="1"/>
      <c r="AB53" s="1"/>
    </row>
    <row r="54">
      <c r="A54" s="1"/>
      <c r="B54" s="7" t="s">
        <v>54</v>
      </c>
      <c r="C54" s="1"/>
      <c r="D54" s="1"/>
      <c r="E54" s="1"/>
      <c r="F54" s="68" t="s">
        <v>55</v>
      </c>
      <c r="G54" s="1"/>
      <c r="H54" s="1"/>
      <c r="I54" s="1"/>
      <c r="J54" s="41">
        <f>J37</f>
        <v>1</v>
      </c>
      <c r="K54" s="67" t="s">
        <v>53</v>
      </c>
      <c r="L54" s="1"/>
      <c r="M54" s="1"/>
      <c r="N54" s="1"/>
      <c r="O54" s="1"/>
      <c r="P54" s="1"/>
      <c r="Q54" s="1"/>
      <c r="R54" s="1"/>
      <c r="S54" s="1"/>
      <c r="T54" s="1"/>
      <c r="U54" s="1"/>
      <c r="V54" s="1"/>
      <c r="W54" s="1"/>
      <c r="X54" s="1"/>
      <c r="Y54" s="1"/>
      <c r="Z54" s="1"/>
      <c r="AA54" s="1"/>
      <c r="AB54" s="1"/>
    </row>
    <row r="55">
      <c r="A55" s="1"/>
      <c r="B55" s="39" t="s">
        <v>56</v>
      </c>
      <c r="C55" s="1"/>
      <c r="D55" s="1"/>
      <c r="E55" s="1"/>
      <c r="F55" s="7" t="s">
        <v>57</v>
      </c>
      <c r="G55" s="1"/>
      <c r="H55" s="1"/>
      <c r="I55" s="1"/>
      <c r="J55" s="69">
        <f>(22/7)*G31*G32</f>
        <v>0.03142857143</v>
      </c>
      <c r="K55" s="67" t="s">
        <v>58</v>
      </c>
      <c r="M55" s="70"/>
      <c r="N55" s="7"/>
      <c r="O55" s="1"/>
      <c r="P55" s="1"/>
      <c r="Q55" s="1"/>
      <c r="R55" s="1"/>
      <c r="S55" s="1"/>
      <c r="T55" s="1"/>
      <c r="U55" s="1"/>
      <c r="V55" s="1"/>
      <c r="W55" s="1"/>
      <c r="X55" s="1"/>
      <c r="Y55" s="1"/>
      <c r="Z55" s="1"/>
      <c r="AA55" s="1"/>
      <c r="AB55" s="1"/>
    </row>
    <row r="56">
      <c r="A56" s="1"/>
      <c r="B56" s="7" t="s">
        <v>59</v>
      </c>
      <c r="C56" s="1"/>
      <c r="D56" s="1"/>
      <c r="E56" s="1"/>
      <c r="F56" s="71" t="s">
        <v>60</v>
      </c>
      <c r="G56" s="23"/>
      <c r="H56" s="23"/>
      <c r="I56" s="23"/>
      <c r="J56" s="72">
        <f>G45/(J55*J61)</f>
        <v>0</v>
      </c>
      <c r="K56" s="67" t="s">
        <v>61</v>
      </c>
      <c r="L56" s="1"/>
      <c r="M56" s="1"/>
      <c r="N56" s="1"/>
      <c r="O56" s="1"/>
      <c r="P56" s="1"/>
      <c r="Q56" s="1"/>
      <c r="R56" s="1"/>
      <c r="S56" s="1"/>
      <c r="T56" s="1"/>
      <c r="U56" s="1"/>
      <c r="V56" s="1"/>
      <c r="W56" s="1"/>
      <c r="X56" s="1"/>
      <c r="Y56" s="1"/>
      <c r="Z56" s="1"/>
      <c r="AA56" s="1"/>
      <c r="AB56" s="1"/>
    </row>
    <row r="57">
      <c r="A57" s="1"/>
      <c r="B57" s="22"/>
      <c r="C57" s="23"/>
      <c r="D57" s="23"/>
      <c r="E57" s="73"/>
      <c r="F57" s="74"/>
      <c r="G57" s="74"/>
      <c r="H57" s="74"/>
      <c r="I57" s="74"/>
      <c r="J57" s="75"/>
      <c r="K57" s="76"/>
      <c r="L57" s="1"/>
      <c r="M57" s="1"/>
      <c r="N57" s="1"/>
      <c r="O57" s="1"/>
      <c r="P57" s="1"/>
      <c r="Q57" s="1"/>
      <c r="R57" s="1"/>
      <c r="S57" s="1"/>
      <c r="T57" s="1"/>
      <c r="U57" s="1"/>
      <c r="V57" s="1"/>
      <c r="W57" s="1"/>
      <c r="X57" s="1"/>
      <c r="Y57" s="1"/>
      <c r="Z57" s="1"/>
      <c r="AA57" s="1"/>
      <c r="AB57" s="1"/>
    </row>
    <row r="58">
      <c r="A58" s="1"/>
      <c r="B58" s="77"/>
      <c r="C58" s="56"/>
      <c r="D58" s="56"/>
      <c r="E58" s="56"/>
      <c r="F58" s="78"/>
      <c r="G58" s="56"/>
      <c r="H58" s="56"/>
      <c r="I58" s="56"/>
      <c r="J58" s="79"/>
      <c r="K58" s="67"/>
      <c r="L58" s="1"/>
      <c r="M58" s="1"/>
      <c r="N58" s="1"/>
      <c r="O58" s="1"/>
      <c r="P58" s="1"/>
      <c r="Q58" s="1"/>
      <c r="R58" s="1"/>
      <c r="S58" s="1"/>
      <c r="T58" s="1"/>
      <c r="U58" s="1"/>
      <c r="V58" s="1"/>
      <c r="W58" s="1"/>
      <c r="X58" s="1"/>
      <c r="Y58" s="1"/>
      <c r="Z58" s="1"/>
      <c r="AA58" s="1"/>
      <c r="AB58" s="1"/>
    </row>
    <row r="59">
      <c r="A59" s="1"/>
      <c r="B59" s="25" t="s">
        <v>62</v>
      </c>
      <c r="C59" s="26"/>
      <c r="D59" s="26"/>
      <c r="E59" s="26"/>
      <c r="F59" s="80" t="s">
        <v>63</v>
      </c>
      <c r="G59" s="26"/>
      <c r="H59" s="26"/>
      <c r="I59" s="26"/>
      <c r="J59" s="81"/>
      <c r="K59" s="67" t="s">
        <v>64</v>
      </c>
      <c r="L59" s="1"/>
      <c r="M59" s="1"/>
      <c r="N59" s="1"/>
      <c r="O59" s="1"/>
      <c r="P59" s="1"/>
      <c r="Q59" s="1"/>
      <c r="R59" s="1"/>
      <c r="S59" s="1"/>
      <c r="T59" s="1"/>
      <c r="U59" s="1"/>
      <c r="V59" s="1"/>
      <c r="W59" s="1"/>
      <c r="X59" s="1"/>
      <c r="Y59" s="1"/>
      <c r="Z59" s="1"/>
      <c r="AA59" s="1"/>
      <c r="AB59" s="1"/>
    </row>
    <row r="60">
      <c r="A60" s="1"/>
      <c r="B60" s="82"/>
      <c r="C60" s="37"/>
      <c r="D60" s="37"/>
      <c r="E60" s="37"/>
      <c r="F60" s="82"/>
      <c r="G60" s="37"/>
      <c r="H60" s="37"/>
      <c r="I60" s="37"/>
      <c r="J60" s="83"/>
      <c r="K60" s="67"/>
      <c r="L60" s="1"/>
      <c r="M60" s="1"/>
      <c r="N60" s="1"/>
      <c r="O60" s="1"/>
      <c r="P60" s="1"/>
      <c r="Q60" s="1"/>
      <c r="R60" s="1"/>
      <c r="S60" s="1"/>
      <c r="T60" s="1"/>
      <c r="U60" s="1"/>
      <c r="V60" s="1"/>
      <c r="W60" s="1"/>
      <c r="X60" s="1"/>
      <c r="Y60" s="1"/>
      <c r="Z60" s="1"/>
      <c r="AA60" s="1"/>
      <c r="AB60" s="1"/>
    </row>
    <row r="61">
      <c r="A61" s="1"/>
      <c r="B61" s="7" t="s">
        <v>65</v>
      </c>
      <c r="C61" s="1"/>
      <c r="D61" s="1"/>
      <c r="E61" s="1"/>
      <c r="F61" s="7" t="s">
        <v>66</v>
      </c>
      <c r="G61" s="1"/>
      <c r="H61" s="1"/>
      <c r="I61" s="1"/>
      <c r="J61" s="66">
        <f>J53-J54</f>
        <v>-1</v>
      </c>
      <c r="K61" s="67" t="s">
        <v>53</v>
      </c>
      <c r="L61" s="1"/>
      <c r="M61" s="1"/>
      <c r="N61" s="1"/>
      <c r="O61" s="1"/>
      <c r="P61" s="1"/>
      <c r="Q61" s="1"/>
      <c r="R61" s="1"/>
      <c r="S61" s="1"/>
      <c r="T61" s="1"/>
      <c r="U61" s="1"/>
      <c r="V61" s="1"/>
      <c r="W61" s="1"/>
      <c r="X61" s="1"/>
      <c r="Y61" s="1"/>
      <c r="Z61" s="1"/>
      <c r="AA61" s="1"/>
      <c r="AB61" s="1"/>
    </row>
    <row r="62">
      <c r="A62" s="1"/>
      <c r="B62" s="7" t="s">
        <v>67</v>
      </c>
      <c r="C62" s="1"/>
      <c r="D62" s="1"/>
      <c r="E62" s="1"/>
      <c r="F62" s="7" t="s">
        <v>15</v>
      </c>
      <c r="G62" s="1"/>
      <c r="H62" s="1"/>
      <c r="I62" s="1"/>
      <c r="J62" s="8">
        <v>9.8</v>
      </c>
      <c r="K62" s="67" t="s">
        <v>16</v>
      </c>
      <c r="L62" s="1"/>
      <c r="M62" s="1"/>
      <c r="N62" s="1"/>
      <c r="O62" s="1"/>
      <c r="P62" s="1"/>
      <c r="Q62" s="1"/>
      <c r="R62" s="1"/>
      <c r="S62" s="1"/>
      <c r="T62" s="1"/>
      <c r="U62" s="1"/>
      <c r="V62" s="1"/>
      <c r="W62" s="1"/>
      <c r="X62" s="1"/>
      <c r="Y62" s="1"/>
      <c r="Z62" s="1"/>
      <c r="AA62" s="1"/>
      <c r="AB62" s="1"/>
    </row>
    <row r="63">
      <c r="A63" s="1"/>
      <c r="B63" s="84"/>
      <c r="C63" s="84"/>
      <c r="D63" s="84"/>
      <c r="E63" s="84"/>
      <c r="F63" s="40" t="s">
        <v>68</v>
      </c>
      <c r="G63" s="1"/>
      <c r="H63" s="1"/>
      <c r="I63" s="1"/>
      <c r="J63" s="41">
        <f>(J53+J54)/2</f>
        <v>0.5</v>
      </c>
      <c r="K63" s="67" t="s">
        <v>53</v>
      </c>
      <c r="L63" s="1"/>
      <c r="M63" s="1"/>
      <c r="N63" s="1"/>
      <c r="O63" s="1"/>
      <c r="P63" s="1"/>
      <c r="Q63" s="1"/>
      <c r="R63" s="1"/>
      <c r="S63" s="1"/>
      <c r="T63" s="1"/>
      <c r="U63" s="1"/>
      <c r="V63" s="1"/>
      <c r="W63" s="1"/>
      <c r="X63" s="1"/>
      <c r="Y63" s="1"/>
      <c r="Z63" s="1"/>
      <c r="AA63" s="1"/>
      <c r="AB63" s="1"/>
    </row>
    <row r="64">
      <c r="A64" s="1"/>
      <c r="B64" s="85" t="s">
        <v>69</v>
      </c>
      <c r="C64" s="10"/>
      <c r="D64" s="10"/>
      <c r="E64" s="11"/>
      <c r="F64" s="40" t="s">
        <v>70</v>
      </c>
      <c r="G64" s="1"/>
      <c r="H64" s="1"/>
      <c r="I64" s="1"/>
      <c r="J64" s="41">
        <f>1/(J63+273)</f>
        <v>0.00365630713</v>
      </c>
      <c r="K64" s="67" t="s">
        <v>71</v>
      </c>
      <c r="L64" s="1"/>
      <c r="M64" s="1"/>
      <c r="N64" s="1"/>
      <c r="O64" s="1"/>
      <c r="P64" s="1"/>
      <c r="Q64" s="1"/>
      <c r="R64" s="1"/>
      <c r="S64" s="1"/>
      <c r="T64" s="1"/>
      <c r="U64" s="1"/>
      <c r="V64" s="1"/>
      <c r="W64" s="1"/>
      <c r="X64" s="1"/>
      <c r="Y64" s="1"/>
      <c r="Z64" s="1"/>
      <c r="AA64" s="1"/>
      <c r="AB64" s="1"/>
    </row>
    <row r="65">
      <c r="A65" s="1"/>
      <c r="B65" s="7" t="s">
        <v>72</v>
      </c>
      <c r="C65" s="1"/>
      <c r="D65" s="1"/>
      <c r="E65" s="1"/>
      <c r="F65" s="7" t="s">
        <v>73</v>
      </c>
      <c r="G65" s="1"/>
      <c r="H65" s="1"/>
      <c r="I65" s="1"/>
      <c r="J65" s="86">
        <f>M45</f>
        <v>0.1</v>
      </c>
      <c r="K65" s="67" t="s">
        <v>74</v>
      </c>
      <c r="L65" s="21" t="s">
        <v>75</v>
      </c>
      <c r="M65" s="1"/>
      <c r="N65" s="1"/>
      <c r="O65" s="1"/>
      <c r="P65" s="1"/>
      <c r="Q65" s="1"/>
      <c r="R65" s="1"/>
      <c r="S65" s="1"/>
      <c r="T65" s="1"/>
      <c r="U65" s="1"/>
      <c r="V65" s="1"/>
      <c r="W65" s="1"/>
      <c r="X65" s="1"/>
      <c r="Y65" s="1"/>
      <c r="Z65" s="1"/>
      <c r="AA65" s="1"/>
      <c r="AB65" s="1"/>
    </row>
    <row r="66">
      <c r="A66" s="1"/>
      <c r="B66" s="22"/>
      <c r="C66" s="23"/>
      <c r="D66" s="23"/>
      <c r="E66" s="23"/>
      <c r="F66" s="22"/>
      <c r="G66" s="23"/>
      <c r="H66" s="23"/>
      <c r="I66" s="23"/>
      <c r="J66" s="87"/>
      <c r="K66" s="67"/>
      <c r="M66" s="1"/>
      <c r="N66" s="1"/>
      <c r="O66" s="1"/>
      <c r="P66" s="1"/>
      <c r="Q66" s="1"/>
      <c r="R66" s="1"/>
      <c r="S66" s="1"/>
      <c r="T66" s="1"/>
      <c r="U66" s="1"/>
      <c r="V66" s="1"/>
      <c r="W66" s="1"/>
      <c r="X66" s="1"/>
      <c r="Y66" s="1"/>
      <c r="Z66" s="1"/>
      <c r="AA66" s="1"/>
      <c r="AB66" s="1"/>
    </row>
    <row r="67">
      <c r="A67" s="1"/>
      <c r="B67" s="30"/>
      <c r="C67" s="32"/>
      <c r="D67" s="32"/>
      <c r="E67" s="32"/>
      <c r="F67" s="30" t="s">
        <v>29</v>
      </c>
      <c r="G67" s="32"/>
      <c r="H67" s="32"/>
      <c r="I67" s="32"/>
      <c r="J67" s="88">
        <f>M37</f>
        <v>-0.2293235832</v>
      </c>
      <c r="K67" s="67" t="s">
        <v>64</v>
      </c>
      <c r="L67" s="1"/>
      <c r="M67" s="1"/>
      <c r="N67" s="1"/>
      <c r="O67" s="1"/>
      <c r="P67" s="1"/>
      <c r="Q67" s="1"/>
      <c r="R67" s="1"/>
      <c r="S67" s="1"/>
      <c r="T67" s="1"/>
      <c r="U67" s="1"/>
      <c r="V67" s="1"/>
      <c r="W67" s="1"/>
      <c r="X67" s="1"/>
      <c r="Y67" s="1"/>
      <c r="Z67" s="1"/>
      <c r="AA67" s="1"/>
      <c r="AB67" s="1"/>
    </row>
    <row r="68">
      <c r="A68" s="23"/>
      <c r="B68" s="77"/>
      <c r="C68" s="56"/>
      <c r="D68" s="56"/>
      <c r="E68" s="56"/>
      <c r="F68" s="56"/>
      <c r="G68" s="56"/>
      <c r="H68" s="56"/>
      <c r="I68" s="56"/>
      <c r="J68" s="79"/>
      <c r="K68" s="89"/>
      <c r="L68" s="1"/>
      <c r="M68" s="1"/>
      <c r="N68" s="1"/>
      <c r="O68" s="1"/>
      <c r="P68" s="1"/>
      <c r="Q68" s="1"/>
      <c r="R68" s="1"/>
      <c r="S68" s="1"/>
      <c r="T68" s="1"/>
      <c r="U68" s="1"/>
      <c r="V68" s="1"/>
      <c r="W68" s="1"/>
      <c r="X68" s="1"/>
      <c r="Y68" s="1"/>
      <c r="Z68" s="1"/>
      <c r="AA68" s="1"/>
      <c r="AB68" s="1"/>
    </row>
    <row r="69">
      <c r="A69" s="1"/>
      <c r="B69" s="7" t="s">
        <v>76</v>
      </c>
      <c r="C69" s="1"/>
      <c r="D69" s="1"/>
      <c r="E69" s="1"/>
      <c r="F69" s="7" t="s">
        <v>77</v>
      </c>
      <c r="G69" s="1"/>
      <c r="H69" s="1"/>
      <c r="I69" s="1"/>
      <c r="J69" s="41" t="str">
        <f>N45</f>
        <v/>
      </c>
      <c r="K69" s="67" t="s">
        <v>64</v>
      </c>
      <c r="L69" s="21" t="s">
        <v>75</v>
      </c>
      <c r="M69" s="1"/>
      <c r="N69" s="1"/>
      <c r="O69" s="1"/>
      <c r="P69" s="1"/>
      <c r="Q69" s="1"/>
      <c r="R69" s="1"/>
      <c r="S69" s="1"/>
      <c r="T69" s="1"/>
      <c r="U69" s="1"/>
      <c r="V69" s="1"/>
      <c r="W69" s="1"/>
      <c r="X69" s="1"/>
      <c r="Y69" s="1"/>
      <c r="Z69" s="1"/>
      <c r="AA69" s="1"/>
      <c r="AB69" s="1"/>
    </row>
    <row r="70">
      <c r="A70" s="1"/>
      <c r="B70" s="7" t="s">
        <v>78</v>
      </c>
      <c r="C70" s="1"/>
      <c r="D70" s="1"/>
      <c r="E70" s="1"/>
      <c r="F70" s="1"/>
      <c r="G70" s="1"/>
      <c r="H70" s="1"/>
      <c r="I70" s="1"/>
      <c r="J70" s="8">
        <f>J67*J69</f>
        <v>0</v>
      </c>
      <c r="K70" s="67" t="s">
        <v>64</v>
      </c>
      <c r="L70" s="1"/>
      <c r="M70" s="1"/>
      <c r="N70" s="1"/>
      <c r="O70" s="1"/>
      <c r="P70" s="1"/>
      <c r="Q70" s="1"/>
      <c r="R70" s="1"/>
      <c r="S70" s="1"/>
      <c r="T70" s="1"/>
      <c r="U70" s="1"/>
      <c r="V70" s="1"/>
      <c r="W70" s="1"/>
      <c r="X70" s="1"/>
      <c r="Y70" s="1"/>
      <c r="Z70" s="1"/>
      <c r="AA70" s="1"/>
      <c r="AB70" s="1"/>
    </row>
    <row r="71">
      <c r="A71" s="37"/>
      <c r="B71" s="82" t="s">
        <v>79</v>
      </c>
      <c r="C71" s="37"/>
      <c r="D71" s="37" t="str">
        <f>IFS((10^4)&lt;J70&lt;(10^8),D73,J70&gt;(10^8),D74,J70&lt;(10^4),B87)</f>
        <v>Invalid 'Ra' Value or less than 10^4</v>
      </c>
      <c r="E71" s="37"/>
      <c r="F71" s="37"/>
      <c r="G71" s="37"/>
      <c r="H71" s="37"/>
      <c r="I71" s="37"/>
      <c r="J71" s="83" t="str">
        <f>IFS((10^4)&lt;J70&lt;(10^8),(0.56*(J70^0.25)),J70&gt;(10^8),(0.13*(J70^(1/3))),J70&lt;(10^4),B87)</f>
        <v>Invalid 'Ra' Value or less than 10^4</v>
      </c>
      <c r="K71" s="67" t="s">
        <v>64</v>
      </c>
      <c r="L71" s="1"/>
      <c r="M71" s="1"/>
      <c r="N71" s="1"/>
      <c r="O71" s="1"/>
      <c r="P71" s="1"/>
      <c r="Q71" s="1"/>
      <c r="R71" s="1"/>
      <c r="S71" s="1"/>
      <c r="T71" s="1"/>
      <c r="U71" s="1"/>
      <c r="V71" s="1"/>
      <c r="W71" s="1"/>
      <c r="X71" s="1"/>
      <c r="Y71" s="1"/>
      <c r="Z71" s="1"/>
      <c r="AA71" s="1"/>
      <c r="AB71" s="1"/>
    </row>
    <row r="72">
      <c r="A72" s="37"/>
      <c r="B72" s="90"/>
      <c r="C72" s="91"/>
      <c r="D72" s="92"/>
      <c r="E72" s="37"/>
      <c r="F72" s="37"/>
      <c r="G72" s="37"/>
      <c r="H72" s="37"/>
      <c r="I72" s="37"/>
      <c r="J72" s="83"/>
      <c r="K72" s="89"/>
      <c r="L72" s="1"/>
      <c r="M72" s="1"/>
      <c r="N72" s="1"/>
      <c r="O72" s="1"/>
      <c r="P72" s="1"/>
      <c r="Q72" s="1"/>
      <c r="R72" s="1"/>
      <c r="S72" s="1"/>
      <c r="T72" s="1"/>
      <c r="U72" s="1"/>
      <c r="V72" s="1"/>
      <c r="W72" s="1"/>
      <c r="X72" s="1"/>
      <c r="Y72" s="1"/>
      <c r="Z72" s="1"/>
      <c r="AA72" s="1"/>
      <c r="AB72" s="1"/>
    </row>
    <row r="73">
      <c r="A73" s="93" t="s">
        <v>80</v>
      </c>
      <c r="B73" s="93" t="s">
        <v>81</v>
      </c>
      <c r="C73" s="94"/>
      <c r="D73" s="92" t="s">
        <v>82</v>
      </c>
      <c r="E73" s="1"/>
      <c r="F73" s="1"/>
      <c r="G73" s="1"/>
      <c r="H73" s="1"/>
      <c r="I73" s="1"/>
      <c r="J73" s="41"/>
      <c r="K73" s="89"/>
      <c r="L73" s="1"/>
      <c r="M73" s="1"/>
      <c r="N73" s="1"/>
      <c r="O73" s="1"/>
      <c r="P73" s="1"/>
      <c r="Q73" s="1"/>
      <c r="R73" s="1"/>
      <c r="S73" s="1"/>
      <c r="T73" s="1"/>
      <c r="U73" s="1"/>
      <c r="V73" s="1"/>
      <c r="W73" s="1"/>
      <c r="X73" s="1"/>
      <c r="Y73" s="1"/>
      <c r="Z73" s="1"/>
      <c r="AA73" s="1"/>
      <c r="AB73" s="1"/>
    </row>
    <row r="74">
      <c r="A74" s="1"/>
      <c r="B74" s="93" t="s">
        <v>83</v>
      </c>
      <c r="C74" s="94"/>
      <c r="D74" s="92" t="s">
        <v>84</v>
      </c>
      <c r="E74" s="1"/>
      <c r="F74" s="1"/>
      <c r="G74" s="1"/>
      <c r="H74" s="1"/>
      <c r="I74" s="1"/>
      <c r="J74" s="41"/>
      <c r="K74" s="89"/>
      <c r="L74" s="1"/>
      <c r="M74" s="1"/>
      <c r="N74" s="1"/>
      <c r="O74" s="1"/>
      <c r="P74" s="1"/>
      <c r="Q74" s="1"/>
      <c r="R74" s="1"/>
      <c r="S74" s="1"/>
      <c r="T74" s="1"/>
      <c r="U74" s="1"/>
      <c r="V74" s="1"/>
      <c r="W74" s="1"/>
      <c r="X74" s="1"/>
      <c r="Y74" s="1"/>
      <c r="Z74" s="1"/>
      <c r="AA74" s="1"/>
      <c r="AB74" s="1"/>
    </row>
    <row r="75">
      <c r="A75" s="1"/>
      <c r="B75" s="32"/>
      <c r="C75" s="32"/>
      <c r="D75" s="32"/>
      <c r="E75" s="32"/>
      <c r="F75" s="32"/>
      <c r="G75" s="32"/>
      <c r="H75" s="32"/>
      <c r="I75" s="32"/>
      <c r="J75" s="95"/>
      <c r="K75" s="89"/>
      <c r="L75" s="1"/>
      <c r="M75" s="1"/>
      <c r="N75" s="1"/>
      <c r="O75" s="1"/>
      <c r="P75" s="1"/>
      <c r="Q75" s="1"/>
      <c r="R75" s="1"/>
      <c r="S75" s="1"/>
      <c r="T75" s="1"/>
      <c r="U75" s="1"/>
      <c r="V75" s="1"/>
      <c r="W75" s="1"/>
      <c r="X75" s="1"/>
      <c r="Y75" s="1"/>
      <c r="Z75" s="1"/>
      <c r="AA75" s="1"/>
      <c r="AB75" s="1"/>
    </row>
    <row r="76">
      <c r="A76" s="1"/>
      <c r="B76" s="37"/>
      <c r="C76" s="37"/>
      <c r="D76" s="37"/>
      <c r="E76" s="37"/>
      <c r="F76" s="37"/>
      <c r="G76" s="37"/>
      <c r="H76" s="37"/>
      <c r="I76" s="37"/>
      <c r="J76" s="83"/>
      <c r="K76" s="89"/>
      <c r="L76" s="1"/>
      <c r="M76" s="1"/>
      <c r="N76" s="1"/>
      <c r="O76" s="1"/>
      <c r="P76" s="1"/>
      <c r="Q76" s="1"/>
      <c r="R76" s="1"/>
      <c r="S76" s="1"/>
      <c r="T76" s="1"/>
      <c r="U76" s="1"/>
      <c r="V76" s="1"/>
      <c r="W76" s="1"/>
      <c r="X76" s="1"/>
      <c r="Y76" s="1"/>
      <c r="Z76" s="1"/>
      <c r="AA76" s="1"/>
      <c r="AB76" s="1"/>
    </row>
    <row r="77">
      <c r="A77" s="1"/>
      <c r="B77" s="1"/>
      <c r="C77" s="1"/>
      <c r="D77" s="1"/>
      <c r="E77" s="1"/>
      <c r="F77" s="7" t="s">
        <v>85</v>
      </c>
      <c r="G77" s="1"/>
      <c r="H77" s="1"/>
      <c r="I77" s="1"/>
      <c r="J77" s="41">
        <f>O37</f>
        <v>0</v>
      </c>
      <c r="K77" s="67" t="s">
        <v>61</v>
      </c>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41"/>
      <c r="K78" s="89"/>
      <c r="L78" s="1"/>
      <c r="M78" s="1"/>
      <c r="N78" s="1"/>
      <c r="O78" s="1"/>
      <c r="P78" s="1"/>
      <c r="Q78" s="1"/>
      <c r="R78" s="1"/>
      <c r="S78" s="1"/>
      <c r="T78" s="1"/>
      <c r="U78" s="1"/>
      <c r="V78" s="1"/>
      <c r="W78" s="1"/>
      <c r="X78" s="1"/>
      <c r="Y78" s="1"/>
      <c r="Z78" s="1"/>
      <c r="AA78" s="1"/>
      <c r="AB78" s="1"/>
    </row>
    <row r="79">
      <c r="A79" s="1"/>
      <c r="B79" s="7" t="s">
        <v>86</v>
      </c>
      <c r="C79" s="1"/>
      <c r="D79" s="1"/>
      <c r="E79" s="1"/>
      <c r="F79" s="7" t="s">
        <v>87</v>
      </c>
      <c r="G79" s="1"/>
      <c r="H79" s="1"/>
      <c r="I79" s="1"/>
      <c r="J79" s="41" t="str">
        <f>O45</f>
        <v/>
      </c>
      <c r="K79" s="67" t="s">
        <v>88</v>
      </c>
      <c r="L79" s="21" t="s">
        <v>75</v>
      </c>
      <c r="M79" s="1"/>
      <c r="N79" s="1"/>
      <c r="O79" s="1"/>
      <c r="P79" s="1"/>
      <c r="Q79" s="1"/>
      <c r="R79" s="1"/>
      <c r="S79" s="1"/>
      <c r="T79" s="1"/>
      <c r="U79" s="1"/>
      <c r="V79" s="1"/>
      <c r="W79" s="1"/>
      <c r="X79" s="1"/>
      <c r="Y79" s="1"/>
      <c r="Z79" s="1"/>
      <c r="AA79" s="1"/>
      <c r="AB79" s="1"/>
    </row>
    <row r="80">
      <c r="A80" s="1"/>
      <c r="B80" s="1"/>
      <c r="C80" s="1"/>
      <c r="D80" s="1"/>
      <c r="E80" s="1"/>
      <c r="F80" s="1"/>
      <c r="G80" s="1"/>
      <c r="H80" s="1"/>
      <c r="I80" s="1"/>
      <c r="J80" s="41"/>
      <c r="K80" s="89"/>
      <c r="L80" s="1"/>
      <c r="M80" s="1"/>
      <c r="N80" s="1"/>
      <c r="O80" s="1"/>
      <c r="P80" s="1"/>
      <c r="Q80" s="1"/>
      <c r="R80" s="1"/>
      <c r="S80" s="1"/>
      <c r="T80" s="1"/>
      <c r="U80" s="1"/>
      <c r="V80" s="1"/>
      <c r="W80" s="1"/>
      <c r="X80" s="1"/>
      <c r="Y80" s="1"/>
      <c r="Z80" s="1"/>
      <c r="AA80" s="1"/>
      <c r="AB80" s="1"/>
    </row>
    <row r="81">
      <c r="A81" s="1"/>
      <c r="B81" s="32"/>
      <c r="C81" s="32"/>
      <c r="D81" s="32"/>
      <c r="E81" s="32"/>
      <c r="F81" s="32"/>
      <c r="G81" s="32"/>
      <c r="H81" s="32"/>
      <c r="I81" s="32"/>
      <c r="J81" s="88"/>
      <c r="K81" s="89"/>
      <c r="L81" s="1"/>
      <c r="M81" s="1"/>
      <c r="N81" s="1"/>
      <c r="O81" s="1"/>
      <c r="P81" s="1"/>
      <c r="Q81" s="1"/>
      <c r="R81" s="1"/>
      <c r="S81" s="1"/>
      <c r="T81" s="1"/>
      <c r="U81" s="1"/>
      <c r="V81" s="1"/>
      <c r="W81" s="1"/>
      <c r="X81" s="1"/>
      <c r="Y81" s="1"/>
      <c r="Z81" s="1"/>
      <c r="AA81" s="1"/>
      <c r="AB81" s="1"/>
    </row>
    <row r="82">
      <c r="A82" s="1"/>
      <c r="B82" s="37"/>
      <c r="C82" s="37"/>
      <c r="D82" s="37"/>
      <c r="E82" s="37"/>
      <c r="F82" s="37"/>
      <c r="G82" s="37"/>
      <c r="H82" s="37"/>
      <c r="I82" s="37"/>
      <c r="J82" s="37"/>
      <c r="K82" s="1"/>
      <c r="L82" s="1"/>
      <c r="M82" s="1"/>
      <c r="N82" s="1"/>
      <c r="O82" s="1"/>
      <c r="P82" s="1"/>
      <c r="Q82" s="1"/>
      <c r="R82" s="1"/>
      <c r="S82" s="1"/>
      <c r="T82" s="1"/>
      <c r="U82" s="1"/>
      <c r="V82" s="1"/>
      <c r="W82" s="1"/>
      <c r="X82" s="1"/>
      <c r="Y82" s="1"/>
      <c r="Z82" s="1"/>
      <c r="AA82" s="1"/>
      <c r="AB82" s="1"/>
    </row>
    <row r="83">
      <c r="A83" s="1"/>
      <c r="B83" s="1"/>
      <c r="C83" s="1"/>
      <c r="D83" s="1"/>
      <c r="E83" s="1"/>
      <c r="F83" s="96" t="s">
        <v>89</v>
      </c>
      <c r="G83" s="1"/>
      <c r="H83" s="1"/>
      <c r="I83" s="1"/>
      <c r="J83" s="1"/>
      <c r="K83" s="1"/>
      <c r="L83" s="1"/>
      <c r="M83" s="1"/>
      <c r="N83" s="1"/>
      <c r="O83" s="1"/>
      <c r="P83" s="1"/>
      <c r="Q83" s="1"/>
      <c r="R83" s="1"/>
      <c r="S83" s="1"/>
      <c r="T83" s="1"/>
      <c r="U83" s="1"/>
      <c r="V83" s="1"/>
      <c r="W83" s="1"/>
      <c r="X83" s="1"/>
      <c r="Y83" s="1"/>
      <c r="Z83" s="1"/>
      <c r="AA83" s="1"/>
      <c r="AB83" s="1"/>
    </row>
    <row r="84">
      <c r="A84" s="1"/>
      <c r="B84" s="7"/>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7"/>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7" t="s">
        <v>90</v>
      </c>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7" t="s">
        <v>91</v>
      </c>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sheetData>
  <mergeCells count="62">
    <mergeCell ref="C44:D44"/>
    <mergeCell ref="C45:D45"/>
    <mergeCell ref="E45:F45"/>
    <mergeCell ref="G45:H45"/>
    <mergeCell ref="C46:D46"/>
    <mergeCell ref="E46:F46"/>
    <mergeCell ref="G46:H46"/>
    <mergeCell ref="E49:F49"/>
    <mergeCell ref="G49:H49"/>
    <mergeCell ref="M50:O50"/>
    <mergeCell ref="C47:D47"/>
    <mergeCell ref="E47:F47"/>
    <mergeCell ref="G47:H47"/>
    <mergeCell ref="C48:D48"/>
    <mergeCell ref="E48:F48"/>
    <mergeCell ref="G48:H48"/>
    <mergeCell ref="C49:D49"/>
    <mergeCell ref="B64:E64"/>
    <mergeCell ref="A4:B4"/>
    <mergeCell ref="E4:F4"/>
    <mergeCell ref="A5:J5"/>
    <mergeCell ref="A6:B6"/>
    <mergeCell ref="E6:F6"/>
    <mergeCell ref="E7:F7"/>
    <mergeCell ref="A8:J8"/>
    <mergeCell ref="E15:F15"/>
    <mergeCell ref="E16:F16"/>
    <mergeCell ref="A17:J17"/>
    <mergeCell ref="E9:F9"/>
    <mergeCell ref="E10:F10"/>
    <mergeCell ref="E11:F11"/>
    <mergeCell ref="A12:F12"/>
    <mergeCell ref="A13:F13"/>
    <mergeCell ref="A14:C14"/>
    <mergeCell ref="E14:F14"/>
    <mergeCell ref="A7:B7"/>
    <mergeCell ref="A9:B9"/>
    <mergeCell ref="A10:B10"/>
    <mergeCell ref="A11:B11"/>
    <mergeCell ref="A25:C25"/>
    <mergeCell ref="E25:F25"/>
    <mergeCell ref="A26:C26"/>
    <mergeCell ref="K35:K36"/>
    <mergeCell ref="L35:L36"/>
    <mergeCell ref="M35:M36"/>
    <mergeCell ref="N35:N36"/>
    <mergeCell ref="O35:O36"/>
    <mergeCell ref="P35:P36"/>
    <mergeCell ref="E26:F26"/>
    <mergeCell ref="E27:F27"/>
    <mergeCell ref="B31:C31"/>
    <mergeCell ref="B32:C32"/>
    <mergeCell ref="B33:C33"/>
    <mergeCell ref="B35:B36"/>
    <mergeCell ref="C35:J35"/>
    <mergeCell ref="B43:B44"/>
    <mergeCell ref="C43:H43"/>
    <mergeCell ref="M43:M44"/>
    <mergeCell ref="N43:N44"/>
    <mergeCell ref="O43:O44"/>
    <mergeCell ref="E44:F44"/>
    <mergeCell ref="G44:H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2.88"/>
    <col customWidth="1" min="3" max="6" width="6.38"/>
    <col customWidth="1" min="7" max="9" width="8.13"/>
    <col customWidth="1" min="10" max="10" width="11.0"/>
    <col customWidth="1" min="11" max="12" width="8.13"/>
    <col customWidth="1" min="13" max="15" width="7.25"/>
    <col customWidth="1" min="16" max="16" width="5.0"/>
    <col customWidth="1" min="18" max="18" width="12.13"/>
    <col customWidth="1" min="19" max="19" width="13.8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2" t="s">
        <v>0</v>
      </c>
      <c r="C2" s="1"/>
      <c r="D2" s="1"/>
      <c r="E2" s="1"/>
      <c r="G2" s="1"/>
      <c r="H2" s="1"/>
      <c r="I2" s="1"/>
      <c r="J2" s="1"/>
      <c r="K2" s="1"/>
      <c r="L2" s="1"/>
      <c r="M2" s="1"/>
      <c r="N2" s="1"/>
      <c r="O2" s="1"/>
      <c r="P2" s="3"/>
      <c r="Q2" s="1"/>
      <c r="R2" s="1"/>
      <c r="S2" s="1"/>
      <c r="T2" s="1"/>
      <c r="U2" s="1"/>
      <c r="V2" s="1"/>
      <c r="W2" s="1"/>
      <c r="X2" s="1"/>
      <c r="Y2" s="1"/>
      <c r="Z2" s="1"/>
      <c r="AA2" s="1"/>
      <c r="AB2" s="1"/>
      <c r="AC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row>
    <row r="4">
      <c r="A4" s="5" t="s">
        <v>2</v>
      </c>
      <c r="B4" s="6"/>
      <c r="C4" s="1"/>
      <c r="D4" s="7"/>
      <c r="E4" s="8"/>
      <c r="F4" s="6"/>
      <c r="G4" s="7"/>
      <c r="H4" s="1"/>
      <c r="I4" s="1"/>
      <c r="J4" s="7"/>
      <c r="K4" s="1"/>
      <c r="L4" s="1"/>
      <c r="M4" s="1"/>
      <c r="N4" s="1"/>
      <c r="O4" s="1"/>
      <c r="P4" s="1"/>
      <c r="Q4" s="1"/>
      <c r="R4" s="1"/>
      <c r="S4" s="1"/>
      <c r="T4" s="1"/>
      <c r="U4" s="1"/>
      <c r="V4" s="1"/>
      <c r="W4" s="1"/>
      <c r="X4" s="1"/>
      <c r="Y4" s="1"/>
      <c r="Z4" s="1"/>
      <c r="AA4" s="1"/>
      <c r="AB4" s="1"/>
      <c r="AC4" s="1"/>
    </row>
    <row r="5">
      <c r="A5" s="9" t="s">
        <v>3</v>
      </c>
      <c r="B5" s="10"/>
      <c r="C5" s="10"/>
      <c r="D5" s="10"/>
      <c r="E5" s="10"/>
      <c r="F5" s="10"/>
      <c r="G5" s="10"/>
      <c r="H5" s="10"/>
      <c r="I5" s="10"/>
      <c r="J5" s="11"/>
      <c r="K5" s="1"/>
      <c r="L5" s="1"/>
      <c r="M5" s="1"/>
      <c r="N5" s="1"/>
      <c r="O5" s="1"/>
      <c r="P5" s="1"/>
      <c r="Q5" s="1"/>
      <c r="R5" s="1"/>
      <c r="S5" s="1"/>
      <c r="T5" s="1"/>
      <c r="U5" s="1"/>
      <c r="V5" s="1"/>
      <c r="W5" s="1"/>
      <c r="X5" s="1"/>
      <c r="Y5" s="1"/>
      <c r="Z5" s="1"/>
      <c r="AA5" s="1"/>
      <c r="AB5" s="1"/>
      <c r="AC5" s="1"/>
    </row>
    <row r="6">
      <c r="A6" s="8"/>
      <c r="B6" s="6"/>
      <c r="C6" s="1"/>
      <c r="D6" s="1"/>
      <c r="E6" s="12"/>
      <c r="F6" s="6"/>
      <c r="G6" s="7"/>
      <c r="H6" s="7"/>
      <c r="I6" s="1"/>
      <c r="J6" s="1"/>
      <c r="K6" s="1"/>
      <c r="L6" s="1"/>
      <c r="M6" s="1"/>
      <c r="N6" s="1"/>
      <c r="O6" s="1"/>
      <c r="P6" s="1"/>
      <c r="Q6" s="1"/>
      <c r="R6" s="1"/>
      <c r="S6" s="1"/>
      <c r="T6" s="1"/>
      <c r="U6" s="1"/>
      <c r="V6" s="1"/>
      <c r="W6" s="1"/>
      <c r="X6" s="1"/>
      <c r="Y6" s="1"/>
      <c r="Z6" s="1"/>
      <c r="AA6" s="1"/>
      <c r="AB6" s="1"/>
      <c r="AC6" s="1"/>
    </row>
    <row r="7">
      <c r="A7" s="13" t="s">
        <v>4</v>
      </c>
      <c r="C7" s="1"/>
      <c r="D7" s="1"/>
      <c r="E7" s="8"/>
      <c r="F7" s="6"/>
      <c r="G7" s="7"/>
      <c r="H7" s="1"/>
      <c r="I7" s="1"/>
      <c r="J7" s="1"/>
      <c r="K7" s="1"/>
      <c r="L7" s="1"/>
      <c r="M7" s="1"/>
      <c r="N7" s="1"/>
      <c r="O7" s="1"/>
      <c r="P7" s="1"/>
      <c r="Q7" s="1"/>
      <c r="R7" s="1"/>
      <c r="S7" s="1"/>
      <c r="T7" s="1"/>
      <c r="U7" s="1"/>
      <c r="V7" s="1"/>
      <c r="W7" s="1"/>
      <c r="X7" s="1"/>
      <c r="Y7" s="1"/>
      <c r="Z7" s="1"/>
      <c r="AA7" s="1"/>
      <c r="AB7" s="1"/>
      <c r="AC7" s="1"/>
    </row>
    <row r="8">
      <c r="A8" s="14" t="s">
        <v>5</v>
      </c>
      <c r="B8" s="15"/>
      <c r="C8" s="15"/>
      <c r="D8" s="15"/>
      <c r="E8" s="15"/>
      <c r="F8" s="15"/>
      <c r="G8" s="15"/>
      <c r="H8" s="15"/>
      <c r="I8" s="15"/>
      <c r="J8" s="6"/>
      <c r="K8" s="1"/>
      <c r="L8" s="1"/>
      <c r="M8" s="1"/>
      <c r="N8" s="1"/>
      <c r="O8" s="1"/>
      <c r="P8" s="1"/>
      <c r="Q8" s="1"/>
      <c r="R8" s="1"/>
      <c r="S8" s="1"/>
      <c r="T8" s="1"/>
      <c r="U8" s="1"/>
      <c r="V8" s="1"/>
      <c r="W8" s="1"/>
      <c r="X8" s="1"/>
      <c r="Y8" s="1"/>
      <c r="Z8" s="1"/>
      <c r="AA8" s="1"/>
      <c r="AB8" s="1"/>
      <c r="AC8" s="1"/>
    </row>
    <row r="9">
      <c r="A9" s="8"/>
      <c r="B9" s="6"/>
      <c r="C9" s="1"/>
      <c r="D9" s="1"/>
      <c r="E9" s="12"/>
      <c r="F9" s="6"/>
      <c r="G9" s="7"/>
      <c r="H9" s="1"/>
      <c r="I9" s="1"/>
      <c r="J9" s="1"/>
      <c r="K9" s="1"/>
      <c r="L9" s="1"/>
      <c r="M9" s="1"/>
      <c r="N9" s="1"/>
      <c r="O9" s="1"/>
      <c r="P9" s="1"/>
      <c r="Q9" s="1"/>
      <c r="R9" s="1"/>
      <c r="S9" s="1"/>
      <c r="T9" s="1"/>
      <c r="U9" s="1"/>
      <c r="V9" s="1"/>
      <c r="W9" s="1"/>
      <c r="X9" s="1"/>
      <c r="Y9" s="1"/>
      <c r="Z9" s="1"/>
      <c r="AA9" s="1"/>
      <c r="AB9" s="1"/>
      <c r="AC9" s="1"/>
    </row>
    <row r="10">
      <c r="A10" s="13" t="s">
        <v>6</v>
      </c>
      <c r="C10" s="1"/>
      <c r="D10" s="1"/>
      <c r="E10" s="12"/>
      <c r="F10" s="6"/>
      <c r="G10" s="7"/>
      <c r="H10" s="1"/>
      <c r="I10" s="1"/>
      <c r="J10" s="1"/>
      <c r="K10" s="1"/>
      <c r="L10" s="1"/>
      <c r="M10" s="1"/>
      <c r="N10" s="1"/>
      <c r="O10" s="1"/>
      <c r="P10" s="1"/>
      <c r="Q10" s="1"/>
      <c r="R10" s="1"/>
      <c r="S10" s="1"/>
      <c r="T10" s="1"/>
      <c r="U10" s="1"/>
      <c r="V10" s="1"/>
      <c r="W10" s="1"/>
      <c r="X10" s="1"/>
      <c r="Y10" s="1"/>
      <c r="Z10" s="1"/>
      <c r="AA10" s="1"/>
      <c r="AB10" s="1"/>
      <c r="AC10" s="1"/>
    </row>
    <row r="11">
      <c r="A11" s="8"/>
      <c r="B11" s="6"/>
      <c r="C11" s="1"/>
      <c r="D11" s="1"/>
      <c r="E11" s="12"/>
      <c r="F11" s="6"/>
      <c r="G11" s="7"/>
      <c r="H11" s="1"/>
      <c r="I11" s="1"/>
      <c r="J11" s="1"/>
      <c r="K11" s="1"/>
      <c r="L11" s="1"/>
      <c r="M11" s="1"/>
      <c r="N11" s="1"/>
      <c r="O11" s="1"/>
      <c r="P11" s="1"/>
      <c r="Q11" s="1"/>
      <c r="R11" s="1"/>
      <c r="S11" s="1"/>
      <c r="T11" s="1"/>
      <c r="U11" s="1"/>
      <c r="V11" s="1"/>
      <c r="W11" s="1"/>
      <c r="X11" s="1"/>
      <c r="Y11" s="1"/>
      <c r="Z11" s="1"/>
      <c r="AA11" s="1"/>
      <c r="AB11" s="1"/>
      <c r="AC11" s="1"/>
    </row>
    <row r="12">
      <c r="A12" s="14" t="s">
        <v>7</v>
      </c>
      <c r="B12" s="15"/>
      <c r="C12" s="15"/>
      <c r="D12" s="15"/>
      <c r="E12" s="15"/>
      <c r="F12" s="15"/>
      <c r="G12" s="16" t="str">
        <f>(#REF!+#REF!+#REF!+#REF!+#REF!)/E26</f>
        <v>#REF!</v>
      </c>
      <c r="H12" s="17"/>
      <c r="I12" s="17"/>
      <c r="J12" s="18"/>
      <c r="K12" s="1"/>
      <c r="L12" s="1"/>
      <c r="M12" s="1"/>
      <c r="N12" s="1"/>
      <c r="O12" s="1"/>
      <c r="P12" s="1"/>
      <c r="Q12" s="1"/>
      <c r="R12" s="1"/>
      <c r="S12" s="1"/>
      <c r="T12" s="1"/>
      <c r="U12" s="1"/>
      <c r="V12" s="1"/>
      <c r="W12" s="1"/>
      <c r="X12" s="1"/>
      <c r="Y12" s="1"/>
      <c r="Z12" s="1"/>
      <c r="AA12" s="1"/>
      <c r="AB12" s="1"/>
      <c r="AC12" s="1"/>
    </row>
    <row r="13">
      <c r="A13" s="14" t="s">
        <v>8</v>
      </c>
      <c r="B13" s="15"/>
      <c r="C13" s="15"/>
      <c r="D13" s="15"/>
      <c r="E13" s="15"/>
      <c r="F13" s="15"/>
      <c r="G13" s="17" t="str">
        <f>(#REF!+#REF!+#REF!+#REF!+#REF!)/E26</f>
        <v>#REF!</v>
      </c>
      <c r="H13" s="17"/>
      <c r="I13" s="17"/>
      <c r="J13" s="18"/>
      <c r="K13" s="1"/>
      <c r="L13" s="1"/>
      <c r="M13" s="1"/>
      <c r="N13" s="1"/>
      <c r="O13" s="1"/>
      <c r="P13" s="1"/>
      <c r="Q13" s="1"/>
      <c r="R13" s="1"/>
      <c r="S13" s="1"/>
      <c r="T13" s="1"/>
      <c r="U13" s="1"/>
      <c r="V13" s="1"/>
      <c r="W13" s="1"/>
      <c r="X13" s="1"/>
      <c r="Y13" s="1"/>
      <c r="Z13" s="1"/>
      <c r="AA13" s="1"/>
      <c r="AB13" s="1"/>
      <c r="AC13" s="1"/>
    </row>
    <row r="14">
      <c r="A14" s="8"/>
      <c r="B14" s="15"/>
      <c r="C14" s="6"/>
      <c r="D14" s="7"/>
      <c r="E14" s="19"/>
      <c r="F14" s="6"/>
      <c r="G14" s="1"/>
      <c r="H14" s="1"/>
      <c r="I14" s="1"/>
      <c r="J14" s="1"/>
      <c r="K14" s="1"/>
      <c r="L14" s="1"/>
      <c r="M14" s="1"/>
      <c r="N14" s="1"/>
      <c r="O14" s="1"/>
      <c r="P14" s="1"/>
      <c r="Q14" s="1"/>
      <c r="R14" s="1"/>
      <c r="S14" s="1"/>
      <c r="T14" s="1"/>
      <c r="U14" s="1"/>
      <c r="V14" s="1"/>
      <c r="W14" s="1"/>
      <c r="X14" s="1"/>
      <c r="Y14" s="1"/>
      <c r="Z14" s="1"/>
      <c r="AA14" s="1"/>
      <c r="AB14" s="1"/>
      <c r="AC14" s="1"/>
    </row>
    <row r="15">
      <c r="A15" s="20" t="s">
        <v>9</v>
      </c>
      <c r="B15" s="20"/>
      <c r="C15" s="7"/>
      <c r="D15" s="7"/>
      <c r="E15" s="19"/>
      <c r="F15" s="6"/>
      <c r="G15" s="7"/>
      <c r="H15" s="21"/>
      <c r="I15" s="1"/>
      <c r="J15" s="1"/>
      <c r="K15" s="1"/>
      <c r="L15" s="1"/>
      <c r="M15" s="1"/>
      <c r="N15" s="1"/>
      <c r="O15" s="1"/>
      <c r="P15" s="1"/>
      <c r="Q15" s="1"/>
      <c r="R15" s="1"/>
      <c r="S15" s="1"/>
      <c r="T15" s="1"/>
      <c r="U15" s="1"/>
      <c r="V15" s="1"/>
      <c r="W15" s="1"/>
      <c r="X15" s="1"/>
      <c r="Y15" s="1"/>
      <c r="Z15" s="1"/>
      <c r="AA15" s="1"/>
      <c r="AB15" s="1"/>
      <c r="AC15" s="1"/>
    </row>
    <row r="16">
      <c r="A16" s="7"/>
      <c r="B16" s="7"/>
      <c r="C16" s="7"/>
      <c r="D16" s="7"/>
      <c r="E16" s="8"/>
      <c r="F16" s="6"/>
      <c r="G16" s="1"/>
      <c r="H16" s="1"/>
      <c r="I16" s="1"/>
      <c r="J16" s="1"/>
      <c r="K16" s="1"/>
      <c r="L16" s="1"/>
      <c r="M16" s="1"/>
      <c r="N16" s="1"/>
      <c r="O16" s="1"/>
      <c r="P16" s="1"/>
      <c r="Q16" s="1"/>
      <c r="R16" s="1"/>
      <c r="S16" s="1"/>
      <c r="T16" s="1"/>
      <c r="U16" s="1"/>
      <c r="V16" s="1"/>
      <c r="W16" s="1"/>
      <c r="X16" s="1"/>
      <c r="Y16" s="1"/>
      <c r="Z16" s="1"/>
      <c r="AA16" s="1"/>
      <c r="AB16" s="1"/>
      <c r="AC16" s="1"/>
    </row>
    <row r="17">
      <c r="A17" s="8"/>
      <c r="B17" s="15"/>
      <c r="C17" s="15"/>
      <c r="D17" s="15"/>
      <c r="E17" s="15"/>
      <c r="F17" s="15"/>
      <c r="G17" s="15"/>
      <c r="H17" s="15"/>
      <c r="I17" s="15"/>
      <c r="J17" s="6"/>
      <c r="K17" s="1"/>
      <c r="L17" s="1"/>
      <c r="M17" s="1"/>
      <c r="N17" s="1"/>
      <c r="O17" s="1"/>
      <c r="P17" s="1"/>
      <c r="Q17" s="1"/>
      <c r="R17" s="1"/>
      <c r="S17" s="1"/>
      <c r="T17" s="1"/>
      <c r="U17" s="1"/>
      <c r="V17" s="1"/>
      <c r="W17" s="1"/>
      <c r="X17" s="1"/>
      <c r="Y17" s="1"/>
      <c r="Z17" s="1"/>
      <c r="AA17" s="1"/>
      <c r="AB17" s="1"/>
      <c r="AC17" s="1"/>
    </row>
    <row r="18">
      <c r="A18" s="7"/>
      <c r="B18" s="7"/>
      <c r="C18" s="7"/>
      <c r="D18" s="7"/>
      <c r="E18" s="7"/>
      <c r="F18" s="7"/>
      <c r="G18" s="1"/>
      <c r="H18" s="1"/>
      <c r="I18" s="1"/>
      <c r="J18" s="1"/>
      <c r="K18" s="1"/>
      <c r="L18" s="1"/>
      <c r="M18" s="1"/>
      <c r="N18" s="1"/>
      <c r="O18" s="1"/>
      <c r="P18" s="1"/>
      <c r="Q18" s="1"/>
      <c r="R18" s="1"/>
      <c r="S18" s="1"/>
      <c r="T18" s="1"/>
      <c r="U18" s="1"/>
      <c r="V18" s="1"/>
      <c r="W18" s="1"/>
      <c r="X18" s="1"/>
      <c r="Y18" s="1"/>
      <c r="Z18" s="1"/>
      <c r="AA18" s="1"/>
      <c r="AB18" s="1"/>
      <c r="AC18" s="1"/>
    </row>
    <row r="19">
      <c r="A19" s="7"/>
      <c r="B19" s="7"/>
      <c r="C19" s="7"/>
      <c r="D19" s="7"/>
      <c r="E19" s="7"/>
      <c r="F19" s="7"/>
      <c r="G19" s="1"/>
      <c r="H19" s="1"/>
      <c r="I19" s="1"/>
      <c r="J19" s="1"/>
      <c r="K19" s="1"/>
      <c r="L19" s="1"/>
      <c r="M19" s="1"/>
      <c r="N19" s="1"/>
      <c r="O19" s="1"/>
      <c r="P19" s="1"/>
      <c r="Q19" s="1"/>
      <c r="R19" s="1"/>
      <c r="S19" s="1"/>
      <c r="T19" s="1"/>
      <c r="U19" s="1"/>
      <c r="V19" s="1"/>
      <c r="W19" s="1"/>
      <c r="X19" s="1"/>
      <c r="Y19" s="1"/>
      <c r="Z19" s="1"/>
      <c r="AA19" s="1"/>
      <c r="AB19" s="1"/>
      <c r="AC19" s="1"/>
    </row>
    <row r="20">
      <c r="A20" s="7"/>
      <c r="B20" s="7"/>
      <c r="C20" s="7"/>
      <c r="D20" s="7"/>
      <c r="E20" s="7"/>
      <c r="F20" s="7"/>
      <c r="G20" s="1"/>
      <c r="H20" s="1"/>
      <c r="I20" s="1"/>
      <c r="J20" s="1"/>
      <c r="K20" s="1"/>
      <c r="L20" s="1"/>
      <c r="M20" s="1"/>
      <c r="N20" s="1"/>
      <c r="O20" s="1"/>
      <c r="P20" s="1"/>
      <c r="Q20" s="1"/>
      <c r="R20" s="1"/>
      <c r="S20" s="1"/>
      <c r="T20" s="1"/>
      <c r="U20" s="1"/>
      <c r="V20" s="1"/>
      <c r="W20" s="1"/>
      <c r="X20" s="1"/>
      <c r="Y20" s="1"/>
      <c r="Z20" s="1"/>
      <c r="AA20" s="1"/>
      <c r="AB20" s="1"/>
      <c r="AC20" s="1"/>
    </row>
    <row r="21">
      <c r="A21" s="7"/>
      <c r="B21" s="7"/>
      <c r="C21" s="7"/>
      <c r="D21" s="7"/>
      <c r="E21" s="7"/>
      <c r="F21" s="7"/>
      <c r="G21" s="1"/>
      <c r="H21" s="1"/>
      <c r="I21" s="1"/>
      <c r="J21" s="1"/>
      <c r="K21" s="1"/>
      <c r="L21" s="1"/>
      <c r="M21" s="1"/>
      <c r="N21" s="1"/>
      <c r="O21" s="1"/>
      <c r="P21" s="1"/>
      <c r="Q21" s="1"/>
      <c r="R21" s="1"/>
      <c r="S21" s="1"/>
      <c r="T21" s="1"/>
      <c r="U21" s="1"/>
      <c r="V21" s="1"/>
      <c r="W21" s="1"/>
      <c r="X21" s="1"/>
      <c r="Y21" s="1"/>
      <c r="Z21" s="1"/>
      <c r="AA21" s="1"/>
      <c r="AB21" s="1"/>
      <c r="AC21" s="1"/>
    </row>
    <row r="22">
      <c r="A22" s="22"/>
      <c r="B22" s="22"/>
      <c r="C22" s="22"/>
      <c r="D22" s="22"/>
      <c r="E22" s="22"/>
      <c r="F22" s="22"/>
      <c r="G22" s="23"/>
      <c r="H22" s="23"/>
      <c r="I22" s="23"/>
      <c r="J22" s="23"/>
      <c r="K22" s="1"/>
      <c r="L22" s="1"/>
      <c r="M22" s="1"/>
      <c r="N22" s="1"/>
      <c r="O22" s="1"/>
      <c r="P22" s="1"/>
      <c r="Q22" s="1"/>
      <c r="R22" s="1"/>
      <c r="S22" s="1"/>
      <c r="T22" s="1"/>
      <c r="U22" s="1"/>
      <c r="V22" s="1"/>
      <c r="W22" s="1"/>
      <c r="X22" s="1"/>
      <c r="Y22" s="1"/>
      <c r="Z22" s="1"/>
      <c r="AA22" s="1"/>
      <c r="AB22" s="1"/>
      <c r="AC22" s="1"/>
    </row>
    <row r="23">
      <c r="A23" s="24" t="s">
        <v>10</v>
      </c>
      <c r="B23" s="25"/>
      <c r="C23" s="25"/>
      <c r="D23" s="25"/>
      <c r="E23" s="25"/>
      <c r="F23" s="25"/>
      <c r="G23" s="26"/>
      <c r="H23" s="26"/>
      <c r="I23" s="26"/>
      <c r="J23" s="27"/>
      <c r="K23" s="28"/>
      <c r="L23" s="1"/>
      <c r="M23" s="1"/>
      <c r="N23" s="1"/>
      <c r="O23" s="1"/>
      <c r="P23" s="1"/>
      <c r="Q23" s="1"/>
      <c r="R23" s="1"/>
      <c r="S23" s="1"/>
      <c r="T23" s="1"/>
      <c r="U23" s="1"/>
      <c r="V23" s="1"/>
      <c r="W23" s="1"/>
      <c r="X23" s="1"/>
      <c r="Y23" s="1"/>
      <c r="Z23" s="1"/>
      <c r="AA23" s="1"/>
      <c r="AB23" s="1"/>
      <c r="AC23" s="1"/>
    </row>
    <row r="24">
      <c r="A24" s="29"/>
      <c r="B24" s="30" t="s">
        <v>11</v>
      </c>
      <c r="C24" s="31"/>
      <c r="D24" s="30" t="s">
        <v>12</v>
      </c>
      <c r="E24" s="30"/>
      <c r="F24" s="30"/>
      <c r="G24" s="32"/>
      <c r="H24" s="32"/>
      <c r="I24" s="32"/>
      <c r="J24" s="33"/>
      <c r="K24" s="28"/>
      <c r="L24" s="1"/>
      <c r="M24" s="1"/>
      <c r="N24" s="1"/>
      <c r="O24" s="1"/>
      <c r="P24" s="1"/>
      <c r="Q24" s="1"/>
      <c r="R24" s="1"/>
      <c r="S24" s="1"/>
      <c r="T24" s="1"/>
      <c r="U24" s="1"/>
      <c r="V24" s="1"/>
      <c r="W24" s="1"/>
      <c r="X24" s="1"/>
      <c r="Y24" s="1"/>
      <c r="Z24" s="1"/>
      <c r="AA24" s="1"/>
      <c r="AB24" s="1"/>
      <c r="AC24" s="1"/>
    </row>
    <row r="25">
      <c r="A25" s="34"/>
      <c r="B25" s="10"/>
      <c r="C25" s="11"/>
      <c r="D25" s="35"/>
      <c r="E25" s="36"/>
      <c r="F25" s="11"/>
      <c r="G25" s="35"/>
      <c r="H25" s="21"/>
      <c r="I25" s="37"/>
      <c r="J25" s="37"/>
      <c r="K25" s="1"/>
      <c r="L25" s="1"/>
      <c r="M25" s="1"/>
      <c r="N25" s="1"/>
      <c r="O25" s="1"/>
      <c r="P25" s="1"/>
      <c r="Q25" s="1"/>
      <c r="R25" s="1"/>
      <c r="S25" s="1"/>
      <c r="T25" s="1"/>
      <c r="U25" s="1"/>
      <c r="V25" s="1"/>
      <c r="W25" s="1"/>
      <c r="X25" s="1"/>
      <c r="Y25" s="1"/>
      <c r="Z25" s="1"/>
      <c r="AA25" s="1"/>
      <c r="AB25" s="1"/>
      <c r="AC25" s="1"/>
    </row>
    <row r="26">
      <c r="A26" s="14" t="s">
        <v>13</v>
      </c>
      <c r="B26" s="15"/>
      <c r="C26" s="6"/>
      <c r="D26" s="17"/>
      <c r="E26" s="38">
        <v>3.0</v>
      </c>
      <c r="F26" s="6"/>
      <c r="G26" s="1"/>
      <c r="H26" s="1"/>
      <c r="I26" s="1"/>
      <c r="J26" s="1"/>
      <c r="K26" s="1"/>
      <c r="L26" s="1"/>
      <c r="M26" s="1"/>
      <c r="N26" s="1"/>
      <c r="O26" s="1"/>
      <c r="P26" s="1"/>
      <c r="Q26" s="1"/>
      <c r="R26" s="1"/>
      <c r="S26" s="1"/>
      <c r="T26" s="1"/>
      <c r="U26" s="1"/>
      <c r="V26" s="1"/>
      <c r="W26" s="1"/>
      <c r="X26" s="1"/>
      <c r="Y26" s="1"/>
      <c r="Z26" s="1"/>
      <c r="AA26" s="1"/>
      <c r="AB26" s="1"/>
      <c r="AC26" s="1"/>
    </row>
    <row r="27">
      <c r="A27" s="7" t="s">
        <v>14</v>
      </c>
      <c r="B27" s="7"/>
      <c r="C27" s="7"/>
      <c r="D27" s="7" t="s">
        <v>15</v>
      </c>
      <c r="E27" s="8">
        <v>9.8</v>
      </c>
      <c r="F27" s="6"/>
      <c r="G27" s="7" t="s">
        <v>16</v>
      </c>
      <c r="H27" s="1"/>
      <c r="I27" s="1"/>
      <c r="J27" s="1"/>
      <c r="K27" s="1"/>
      <c r="L27" s="1"/>
      <c r="M27" s="1"/>
      <c r="N27" s="1"/>
      <c r="O27" s="1"/>
      <c r="P27" s="1"/>
      <c r="Q27" s="1"/>
      <c r="R27" s="1"/>
      <c r="S27" s="1"/>
      <c r="T27" s="1"/>
      <c r="U27" s="1"/>
      <c r="V27" s="1"/>
      <c r="W27" s="1"/>
      <c r="X27" s="1"/>
      <c r="Y27" s="1"/>
      <c r="Z27" s="1"/>
      <c r="AA27" s="1"/>
      <c r="AB27" s="1"/>
      <c r="AC27" s="1"/>
    </row>
    <row r="28">
      <c r="A28" s="39"/>
      <c r="B28" s="7"/>
      <c r="C28" s="7"/>
      <c r="D28" s="7"/>
      <c r="E28" s="7"/>
      <c r="F28" s="7"/>
      <c r="G28" s="7"/>
      <c r="H28" s="1"/>
      <c r="I28" s="1"/>
      <c r="J28" s="1"/>
      <c r="K28" s="1"/>
      <c r="L28" s="1"/>
      <c r="M28" s="1"/>
      <c r="N28" s="1"/>
      <c r="O28" s="1"/>
      <c r="P28" s="1"/>
      <c r="Q28" s="1"/>
      <c r="R28" s="1"/>
      <c r="S28" s="1"/>
      <c r="T28" s="1"/>
      <c r="U28" s="1"/>
      <c r="V28" s="1"/>
      <c r="W28" s="1"/>
      <c r="X28" s="1"/>
      <c r="Y28" s="1"/>
      <c r="Z28" s="1"/>
      <c r="AA28" s="1"/>
      <c r="AB28" s="1"/>
      <c r="AC28" s="1"/>
    </row>
    <row r="29">
      <c r="A29" s="20" t="s">
        <v>17</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39"/>
      <c r="B30" s="7"/>
      <c r="C30" s="7"/>
      <c r="D30" s="7"/>
      <c r="E30" s="7"/>
      <c r="F30" s="1"/>
      <c r="G30" s="1"/>
      <c r="H30" s="1"/>
      <c r="I30" s="1"/>
      <c r="J30" s="1"/>
      <c r="K30" s="1"/>
      <c r="L30" s="1"/>
      <c r="M30" s="1"/>
      <c r="N30" s="1"/>
      <c r="O30" s="1"/>
      <c r="P30" s="1"/>
      <c r="Q30" s="1"/>
      <c r="R30" s="1"/>
      <c r="S30" s="1"/>
      <c r="T30" s="1"/>
      <c r="U30" s="1"/>
      <c r="V30" s="1"/>
      <c r="W30" s="1"/>
      <c r="X30" s="1"/>
      <c r="Y30" s="1"/>
      <c r="Z30" s="1"/>
      <c r="AA30" s="1"/>
      <c r="AB30" s="1"/>
      <c r="AC30" s="1"/>
    </row>
    <row r="31">
      <c r="A31" s="40">
        <v>1.0</v>
      </c>
      <c r="B31" s="14" t="s">
        <v>92</v>
      </c>
      <c r="C31" s="6"/>
      <c r="D31" s="7">
        <v>33.0</v>
      </c>
      <c r="E31" s="7" t="s">
        <v>19</v>
      </c>
      <c r="F31" s="7" t="s">
        <v>20</v>
      </c>
      <c r="G31" s="1">
        <f t="shared" ref="G31:G34" si="1">D31/1000</f>
        <v>0.033</v>
      </c>
      <c r="H31" s="7" t="s">
        <v>21</v>
      </c>
      <c r="I31" s="1"/>
      <c r="J31" s="1"/>
      <c r="K31" s="1"/>
      <c r="L31" s="1"/>
      <c r="M31" s="1"/>
      <c r="N31" s="1"/>
      <c r="O31" s="1"/>
      <c r="P31" s="1"/>
      <c r="Q31" s="1"/>
      <c r="R31" s="1"/>
      <c r="S31" s="1"/>
      <c r="T31" s="1"/>
      <c r="U31" s="1"/>
      <c r="V31" s="1"/>
      <c r="W31" s="1"/>
      <c r="X31" s="1"/>
      <c r="Y31" s="1"/>
      <c r="Z31" s="1"/>
      <c r="AA31" s="1"/>
      <c r="AB31" s="1"/>
      <c r="AC31" s="1"/>
    </row>
    <row r="32">
      <c r="A32" s="40">
        <v>2.0</v>
      </c>
      <c r="B32" s="14" t="s">
        <v>93</v>
      </c>
      <c r="C32" s="6"/>
      <c r="D32" s="7">
        <v>28.0</v>
      </c>
      <c r="E32" s="7" t="s">
        <v>19</v>
      </c>
      <c r="F32" s="7" t="s">
        <v>20</v>
      </c>
      <c r="G32" s="1">
        <f t="shared" si="1"/>
        <v>0.028</v>
      </c>
      <c r="H32" s="7" t="s">
        <v>21</v>
      </c>
      <c r="I32" s="1"/>
      <c r="J32" s="1"/>
      <c r="K32" s="1"/>
      <c r="L32" s="1"/>
      <c r="M32" s="1"/>
      <c r="N32" s="1"/>
      <c r="O32" s="1"/>
      <c r="P32" s="1"/>
      <c r="Q32" s="1"/>
      <c r="R32" s="1"/>
      <c r="S32" s="1"/>
      <c r="T32" s="1"/>
      <c r="U32" s="1"/>
      <c r="V32" s="1"/>
      <c r="W32" s="1"/>
      <c r="X32" s="1"/>
      <c r="Y32" s="1"/>
      <c r="Z32" s="1"/>
      <c r="AA32" s="1"/>
      <c r="AB32" s="1"/>
      <c r="AC32" s="1"/>
    </row>
    <row r="33">
      <c r="A33" s="40">
        <v>3.0</v>
      </c>
      <c r="B33" s="14" t="s">
        <v>94</v>
      </c>
      <c r="C33" s="6"/>
      <c r="D33" s="7">
        <v>400.0</v>
      </c>
      <c r="E33" s="7" t="s">
        <v>19</v>
      </c>
      <c r="F33" s="7" t="s">
        <v>20</v>
      </c>
      <c r="G33" s="1">
        <f t="shared" si="1"/>
        <v>0.4</v>
      </c>
      <c r="H33" s="7" t="s">
        <v>21</v>
      </c>
      <c r="I33" s="1"/>
      <c r="J33" s="1"/>
      <c r="K33" s="1"/>
      <c r="L33" s="1"/>
      <c r="M33" s="1"/>
      <c r="N33" s="1"/>
      <c r="O33" s="1"/>
      <c r="P33" s="1"/>
      <c r="Q33" s="1"/>
      <c r="R33" s="1"/>
      <c r="S33" s="1"/>
      <c r="T33" s="1"/>
      <c r="U33" s="1"/>
      <c r="V33" s="1"/>
      <c r="W33" s="1"/>
      <c r="X33" s="1"/>
      <c r="Y33" s="1"/>
      <c r="Z33" s="1"/>
      <c r="AA33" s="1"/>
      <c r="AB33" s="1"/>
      <c r="AC33" s="1"/>
    </row>
    <row r="34">
      <c r="A34" s="7">
        <v>4.0</v>
      </c>
      <c r="B34" s="39" t="s">
        <v>95</v>
      </c>
      <c r="C34" s="23"/>
      <c r="D34" s="22">
        <v>14.0</v>
      </c>
      <c r="E34" s="7" t="s">
        <v>19</v>
      </c>
      <c r="F34" s="7" t="s">
        <v>20</v>
      </c>
      <c r="G34" s="1">
        <f t="shared" si="1"/>
        <v>0.014</v>
      </c>
      <c r="H34" s="7" t="s">
        <v>21</v>
      </c>
      <c r="I34" s="23"/>
      <c r="J34" s="23"/>
      <c r="K34" s="23"/>
      <c r="L34" s="23"/>
      <c r="M34" s="23"/>
      <c r="N34" s="23"/>
      <c r="O34" s="23"/>
      <c r="P34" s="23"/>
      <c r="Q34" s="23"/>
      <c r="R34" s="1"/>
      <c r="S34" s="1"/>
      <c r="T34" s="1"/>
      <c r="U34" s="1"/>
      <c r="V34" s="1"/>
      <c r="W34" s="1"/>
      <c r="X34" s="1"/>
      <c r="Y34" s="1"/>
      <c r="Z34" s="1"/>
      <c r="AA34" s="1"/>
      <c r="AB34" s="1"/>
      <c r="AC34" s="1"/>
    </row>
    <row r="35">
      <c r="A35" s="1"/>
      <c r="B35" s="23"/>
      <c r="C35" s="23"/>
      <c r="D35" s="23"/>
      <c r="E35" s="23"/>
      <c r="F35" s="23"/>
      <c r="G35" s="23"/>
      <c r="H35" s="23"/>
      <c r="I35" s="23"/>
      <c r="J35" s="23"/>
      <c r="K35" s="23"/>
      <c r="L35" s="23"/>
      <c r="M35" s="23"/>
      <c r="N35" s="23"/>
      <c r="O35" s="23"/>
      <c r="P35" s="23"/>
      <c r="Q35" s="23"/>
      <c r="R35" s="1"/>
      <c r="S35" s="1"/>
      <c r="T35" s="1"/>
      <c r="U35" s="1"/>
      <c r="V35" s="1"/>
      <c r="W35" s="1"/>
      <c r="X35" s="1"/>
      <c r="Y35" s="1"/>
      <c r="Z35" s="1"/>
      <c r="AA35" s="1"/>
      <c r="AB35" s="1"/>
      <c r="AC35" s="1"/>
    </row>
    <row r="36">
      <c r="A36" s="41"/>
      <c r="B36" s="97" t="s">
        <v>25</v>
      </c>
      <c r="C36" s="98" t="s">
        <v>96</v>
      </c>
      <c r="D36" s="99"/>
      <c r="E36" s="98" t="s">
        <v>97</v>
      </c>
      <c r="F36" s="99"/>
      <c r="G36" s="57" t="s">
        <v>26</v>
      </c>
      <c r="H36" s="44"/>
      <c r="I36" s="44"/>
      <c r="J36" s="44"/>
      <c r="K36" s="44"/>
      <c r="L36" s="44"/>
      <c r="M36" s="98" t="s">
        <v>98</v>
      </c>
      <c r="N36" s="100"/>
      <c r="O36" s="99"/>
      <c r="P36" s="89"/>
      <c r="Q36" s="58" t="s">
        <v>99</v>
      </c>
      <c r="R36" s="58" t="s">
        <v>100</v>
      </c>
      <c r="S36" s="58" t="s">
        <v>101</v>
      </c>
      <c r="T36" s="1"/>
      <c r="U36" s="1"/>
      <c r="W36" s="1"/>
      <c r="X36" s="1"/>
      <c r="Y36" s="1"/>
      <c r="Z36" s="1"/>
      <c r="AA36" s="1"/>
      <c r="AB36" s="1"/>
      <c r="AC36" s="1"/>
    </row>
    <row r="37">
      <c r="A37" s="41"/>
      <c r="B37" s="48"/>
      <c r="C37" s="101"/>
      <c r="D37" s="102"/>
      <c r="E37" s="101"/>
      <c r="F37" s="102"/>
      <c r="G37" s="103" t="s">
        <v>33</v>
      </c>
      <c r="H37" s="103" t="s">
        <v>34</v>
      </c>
      <c r="I37" s="103" t="s">
        <v>35</v>
      </c>
      <c r="J37" s="103" t="s">
        <v>36</v>
      </c>
      <c r="K37" s="103" t="s">
        <v>37</v>
      </c>
      <c r="L37" s="103" t="s">
        <v>38</v>
      </c>
      <c r="M37" s="104" t="s">
        <v>102</v>
      </c>
      <c r="N37" s="105" t="s">
        <v>103</v>
      </c>
      <c r="O37" s="106" t="s">
        <v>104</v>
      </c>
      <c r="P37" s="89"/>
      <c r="T37" s="59" t="s">
        <v>48</v>
      </c>
      <c r="U37" s="7" t="s">
        <v>48</v>
      </c>
      <c r="W37" s="1"/>
      <c r="X37" s="1"/>
      <c r="Y37" s="1"/>
      <c r="Z37" s="1"/>
      <c r="AA37" s="1"/>
      <c r="AB37" s="1"/>
      <c r="AC37" s="1"/>
    </row>
    <row r="38">
      <c r="A38" s="41"/>
      <c r="B38" s="49">
        <v>1.0</v>
      </c>
      <c r="C38" s="60">
        <v>0.0</v>
      </c>
      <c r="D38" s="45"/>
      <c r="E38" s="60">
        <v>0.0</v>
      </c>
      <c r="F38" s="45"/>
      <c r="G38" s="50">
        <v>0.0</v>
      </c>
      <c r="H38" s="50">
        <v>0.0</v>
      </c>
      <c r="I38" s="50">
        <v>0.0</v>
      </c>
      <c r="J38" s="50">
        <v>0.0</v>
      </c>
      <c r="K38" s="50">
        <v>0.0</v>
      </c>
      <c r="L38" s="50">
        <v>0.0</v>
      </c>
      <c r="M38" s="60">
        <v>10.0</v>
      </c>
      <c r="N38" s="107">
        <v>30.0</v>
      </c>
      <c r="O38" s="108">
        <f t="shared" ref="O38:O42" si="2">if(P38&gt;0,P38/1000,-(P38/1000))</f>
        <v>0.02</v>
      </c>
      <c r="P38" s="109">
        <f t="shared" ref="P38:P42" si="3">N38-M38</f>
        <v>20</v>
      </c>
      <c r="Q38" s="61">
        <v>0.1</v>
      </c>
      <c r="R38" s="61"/>
      <c r="S38" s="61"/>
      <c r="T38" s="62" t="str">
        <f t="shared" ref="T38:T42" si="4">IFS((10^4)&lt;#REF!&lt;(10^8),(0.56*(#REF!^0.25)),#REF!&gt;(10^8),(0.13*(#REF!^(1/3))),#REF!&lt;(10^4),0)</f>
        <v>#REF!</v>
      </c>
      <c r="U38" s="1" t="str">
        <f t="shared" ref="U38:U42" si="5">IFS((10^4)&lt;#REF!&lt;(10^8),(0.56*(#REF!^0.25)),#REF!&gt;(10^8),(0.13*(#REF!^(1/3))),#REF!&lt;(10^4),$B$82)</f>
        <v>#REF!</v>
      </c>
      <c r="W38" s="1"/>
      <c r="X38" s="1"/>
      <c r="Y38" s="1"/>
      <c r="Z38" s="1"/>
      <c r="AA38" s="1"/>
      <c r="AB38" s="1"/>
      <c r="AC38" s="1"/>
    </row>
    <row r="39">
      <c r="A39" s="41"/>
      <c r="B39" s="49">
        <v>2.0</v>
      </c>
      <c r="C39" s="60">
        <v>0.0</v>
      </c>
      <c r="D39" s="45"/>
      <c r="E39" s="60">
        <v>0.0</v>
      </c>
      <c r="F39" s="45"/>
      <c r="G39" s="50">
        <v>0.0</v>
      </c>
      <c r="H39" s="50">
        <v>0.0</v>
      </c>
      <c r="I39" s="50">
        <v>0.0</v>
      </c>
      <c r="J39" s="50">
        <v>0.0</v>
      </c>
      <c r="K39" s="50">
        <v>0.0</v>
      </c>
      <c r="L39" s="50">
        <v>0.0</v>
      </c>
      <c r="M39" s="60">
        <v>15.0</v>
      </c>
      <c r="N39" s="107">
        <v>25.0</v>
      </c>
      <c r="O39" s="108">
        <f t="shared" si="2"/>
        <v>0.01</v>
      </c>
      <c r="P39" s="109">
        <f t="shared" si="3"/>
        <v>10</v>
      </c>
      <c r="Q39" s="61">
        <v>0.1</v>
      </c>
      <c r="R39" s="61"/>
      <c r="S39" s="61"/>
      <c r="T39" s="62" t="str">
        <f t="shared" si="4"/>
        <v>#REF!</v>
      </c>
      <c r="U39" s="1" t="str">
        <f t="shared" si="5"/>
        <v>#REF!</v>
      </c>
      <c r="W39" s="1"/>
      <c r="X39" s="1"/>
      <c r="Y39" s="1"/>
      <c r="Z39" s="1"/>
      <c r="AA39" s="1"/>
      <c r="AB39" s="1"/>
      <c r="AC39" s="1"/>
    </row>
    <row r="40">
      <c r="A40" s="41"/>
      <c r="B40" s="49">
        <v>3.0</v>
      </c>
      <c r="C40" s="60">
        <v>0.0</v>
      </c>
      <c r="D40" s="45"/>
      <c r="E40" s="60">
        <v>0.0</v>
      </c>
      <c r="F40" s="45"/>
      <c r="G40" s="50">
        <v>0.0</v>
      </c>
      <c r="H40" s="50">
        <v>0.0</v>
      </c>
      <c r="I40" s="50">
        <v>0.0</v>
      </c>
      <c r="J40" s="50">
        <v>0.0</v>
      </c>
      <c r="K40" s="50">
        <v>0.0</v>
      </c>
      <c r="L40" s="50">
        <v>0.0</v>
      </c>
      <c r="M40" s="60">
        <v>22.0</v>
      </c>
      <c r="N40" s="107">
        <v>17.0</v>
      </c>
      <c r="O40" s="108">
        <f t="shared" si="2"/>
        <v>0.005</v>
      </c>
      <c r="P40" s="109">
        <f t="shared" si="3"/>
        <v>-5</v>
      </c>
      <c r="Q40" s="61">
        <v>0.1</v>
      </c>
      <c r="R40" s="61"/>
      <c r="S40" s="61"/>
      <c r="T40" s="62" t="str">
        <f t="shared" si="4"/>
        <v>#REF!</v>
      </c>
      <c r="U40" s="1" t="str">
        <f t="shared" si="5"/>
        <v>#REF!</v>
      </c>
      <c r="W40" s="1"/>
      <c r="X40" s="1"/>
      <c r="Y40" s="1"/>
      <c r="Z40" s="1"/>
      <c r="AA40" s="1"/>
      <c r="AB40" s="1"/>
      <c r="AC40" s="1"/>
    </row>
    <row r="41">
      <c r="A41" s="41"/>
      <c r="B41" s="49">
        <v>4.0</v>
      </c>
      <c r="C41" s="60"/>
      <c r="D41" s="45"/>
      <c r="E41" s="60"/>
      <c r="F41" s="45"/>
      <c r="G41" s="50">
        <v>0.0</v>
      </c>
      <c r="H41" s="50">
        <v>0.0</v>
      </c>
      <c r="I41" s="50">
        <v>0.0</v>
      </c>
      <c r="J41" s="50">
        <v>0.0</v>
      </c>
      <c r="K41" s="50">
        <v>0.0</v>
      </c>
      <c r="L41" s="50">
        <v>0.0</v>
      </c>
      <c r="M41" s="60">
        <v>0.0</v>
      </c>
      <c r="N41" s="107">
        <v>0.0</v>
      </c>
      <c r="O41" s="108">
        <f t="shared" si="2"/>
        <v>0</v>
      </c>
      <c r="P41" s="109">
        <f t="shared" si="3"/>
        <v>0</v>
      </c>
      <c r="Q41" s="61">
        <v>0.1</v>
      </c>
      <c r="R41" s="63"/>
      <c r="S41" s="63"/>
      <c r="T41" s="62" t="str">
        <f t="shared" si="4"/>
        <v>#REF!</v>
      </c>
      <c r="U41" s="1" t="str">
        <f t="shared" si="5"/>
        <v>#REF!</v>
      </c>
      <c r="W41" s="1"/>
      <c r="X41" s="1"/>
      <c r="Y41" s="1"/>
      <c r="Z41" s="1"/>
      <c r="AA41" s="1"/>
      <c r="AB41" s="1"/>
      <c r="AC41" s="1"/>
    </row>
    <row r="42">
      <c r="A42" s="41"/>
      <c r="B42" s="49">
        <v>5.0</v>
      </c>
      <c r="C42" s="60"/>
      <c r="D42" s="45"/>
      <c r="E42" s="60"/>
      <c r="F42" s="45"/>
      <c r="G42" s="50">
        <v>0.0</v>
      </c>
      <c r="H42" s="50">
        <v>0.0</v>
      </c>
      <c r="I42" s="50">
        <v>0.0</v>
      </c>
      <c r="J42" s="50">
        <v>0.0</v>
      </c>
      <c r="K42" s="50">
        <v>0.0</v>
      </c>
      <c r="L42" s="110">
        <v>0.0</v>
      </c>
      <c r="M42" s="111">
        <v>0.0</v>
      </c>
      <c r="N42" s="112">
        <v>0.0</v>
      </c>
      <c r="O42" s="108">
        <f t="shared" si="2"/>
        <v>0</v>
      </c>
      <c r="P42" s="109">
        <f t="shared" si="3"/>
        <v>0</v>
      </c>
      <c r="Q42" s="61">
        <v>0.1</v>
      </c>
      <c r="R42" s="63"/>
      <c r="S42" s="63"/>
      <c r="T42" s="62" t="str">
        <f t="shared" si="4"/>
        <v>#REF!</v>
      </c>
      <c r="U42" s="1" t="str">
        <f t="shared" si="5"/>
        <v>#REF!</v>
      </c>
      <c r="W42" s="1"/>
      <c r="X42" s="1"/>
      <c r="Y42" s="1"/>
      <c r="Z42" s="1"/>
      <c r="AA42" s="1"/>
      <c r="AB42" s="1"/>
      <c r="AC42" s="1"/>
    </row>
    <row r="43">
      <c r="A43" s="1"/>
      <c r="B43" s="37"/>
      <c r="C43" s="37"/>
      <c r="D43" s="37"/>
      <c r="E43" s="37"/>
      <c r="F43" s="37"/>
      <c r="G43" s="37"/>
      <c r="H43" s="37"/>
      <c r="I43" s="1"/>
      <c r="J43" s="1"/>
      <c r="K43" s="41"/>
      <c r="L43" s="26"/>
      <c r="M43" s="26"/>
      <c r="N43" s="26"/>
      <c r="O43" s="26"/>
      <c r="Q43" s="64" t="s">
        <v>49</v>
      </c>
      <c r="R43" s="10"/>
      <c r="S43" s="11"/>
      <c r="T43" s="1"/>
      <c r="U43" s="1"/>
      <c r="W43" s="1"/>
      <c r="X43" s="1"/>
      <c r="Y43" s="1"/>
      <c r="Z43" s="1"/>
      <c r="AA43" s="1"/>
      <c r="AB43" s="1"/>
      <c r="AC43" s="1"/>
    </row>
    <row r="44">
      <c r="A44" s="13" t="s">
        <v>50</v>
      </c>
      <c r="B44" s="1"/>
      <c r="D44" s="65" t="s">
        <v>51</v>
      </c>
      <c r="E44" s="1"/>
      <c r="F44" s="1"/>
      <c r="G44" s="1"/>
      <c r="H44" s="1"/>
      <c r="I44" s="1"/>
      <c r="J44" s="1"/>
      <c r="K44" s="1"/>
      <c r="L44" s="37"/>
      <c r="M44" s="37"/>
      <c r="N44" s="37"/>
      <c r="O44" s="37"/>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7" t="s">
        <v>105</v>
      </c>
      <c r="C46" s="1"/>
      <c r="D46" s="1"/>
      <c r="E46" s="7" t="s">
        <v>106</v>
      </c>
      <c r="F46" s="7" t="s">
        <v>107</v>
      </c>
      <c r="G46" s="1"/>
      <c r="H46" s="1"/>
      <c r="I46" s="1"/>
      <c r="J46" s="41">
        <f>(H38+I38+J38+K38)/4</f>
        <v>0</v>
      </c>
      <c r="K46" s="67" t="s">
        <v>53</v>
      </c>
      <c r="L46" s="1"/>
      <c r="M46" s="1"/>
      <c r="N46" s="1"/>
      <c r="O46" s="1"/>
      <c r="P46" s="1"/>
      <c r="Q46" s="1"/>
      <c r="R46" s="1"/>
      <c r="S46" s="1"/>
      <c r="T46" s="1"/>
      <c r="U46" s="1"/>
      <c r="V46" s="1"/>
      <c r="W46" s="1"/>
      <c r="X46" s="1"/>
      <c r="Y46" s="1"/>
      <c r="Z46" s="1"/>
      <c r="AA46" s="1"/>
      <c r="AB46" s="1"/>
      <c r="AC46" s="1"/>
    </row>
    <row r="47">
      <c r="A47" s="1"/>
      <c r="B47" s="7" t="s">
        <v>108</v>
      </c>
      <c r="C47" s="1"/>
      <c r="D47" s="1"/>
      <c r="E47" s="1"/>
      <c r="F47" s="68" t="s">
        <v>109</v>
      </c>
      <c r="G47" s="1"/>
      <c r="H47" s="1"/>
      <c r="I47" s="1"/>
      <c r="J47" s="41">
        <f>(G38+L38)/2</f>
        <v>0</v>
      </c>
      <c r="K47" s="67" t="s">
        <v>53</v>
      </c>
      <c r="L47" s="1"/>
      <c r="M47" s="1"/>
      <c r="N47" s="1"/>
      <c r="O47" s="1"/>
      <c r="P47" s="1"/>
      <c r="Q47" s="1"/>
      <c r="R47" s="1"/>
      <c r="S47" s="1"/>
      <c r="T47" s="1"/>
      <c r="U47" s="1"/>
      <c r="V47" s="1"/>
      <c r="W47" s="1"/>
      <c r="X47" s="1"/>
      <c r="Y47" s="1"/>
      <c r="Z47" s="1"/>
      <c r="AA47" s="1"/>
      <c r="AB47" s="1"/>
      <c r="AC47" s="1"/>
    </row>
    <row r="48">
      <c r="A48" s="1"/>
      <c r="B48" s="39" t="s">
        <v>99</v>
      </c>
      <c r="C48" s="1"/>
      <c r="D48" s="1"/>
      <c r="E48" s="1"/>
      <c r="F48" s="7" t="s">
        <v>110</v>
      </c>
      <c r="G48" s="1"/>
      <c r="H48" s="1"/>
      <c r="I48" s="1"/>
      <c r="J48" s="69">
        <f>Q38</f>
        <v>0.1</v>
      </c>
      <c r="K48" s="67" t="s">
        <v>111</v>
      </c>
      <c r="M48" s="70"/>
      <c r="N48" s="7"/>
      <c r="O48" s="7"/>
      <c r="P48" s="1"/>
      <c r="Q48" s="1"/>
      <c r="R48" s="1"/>
      <c r="S48" s="1"/>
      <c r="T48" s="1"/>
      <c r="U48" s="1"/>
      <c r="V48" s="1"/>
      <c r="W48" s="1"/>
      <c r="X48" s="1"/>
      <c r="Y48" s="1"/>
      <c r="Z48" s="1"/>
      <c r="AA48" s="1"/>
      <c r="AB48" s="1"/>
      <c r="AC48" s="1"/>
    </row>
    <row r="49">
      <c r="A49" s="1"/>
      <c r="B49" s="7" t="s">
        <v>100</v>
      </c>
      <c r="C49" s="1"/>
      <c r="D49" s="1"/>
      <c r="E49" s="1"/>
      <c r="F49" s="71" t="s">
        <v>112</v>
      </c>
      <c r="G49" s="23"/>
      <c r="H49" s="23"/>
      <c r="I49" s="23"/>
      <c r="J49" s="113">
        <v>1.1465</v>
      </c>
      <c r="K49" s="67" t="s">
        <v>113</v>
      </c>
      <c r="L49" s="1"/>
      <c r="M49" s="1"/>
      <c r="N49" s="1"/>
      <c r="O49" s="1"/>
      <c r="P49" s="1"/>
      <c r="Q49" s="1"/>
      <c r="R49" s="1"/>
      <c r="S49" s="1"/>
      <c r="T49" s="1"/>
      <c r="U49" s="1"/>
      <c r="V49" s="1"/>
      <c r="W49" s="1"/>
      <c r="X49" s="1"/>
      <c r="Y49" s="1"/>
      <c r="Z49" s="1"/>
      <c r="AA49" s="1"/>
      <c r="AB49" s="1"/>
      <c r="AC49" s="1"/>
    </row>
    <row r="50">
      <c r="A50" s="1"/>
      <c r="B50" s="7" t="s">
        <v>101</v>
      </c>
      <c r="C50" s="1"/>
      <c r="D50" s="1"/>
      <c r="E50" s="74"/>
      <c r="F50" s="114" t="s">
        <v>114</v>
      </c>
      <c r="G50" s="74"/>
      <c r="H50" s="74"/>
      <c r="I50" s="74"/>
      <c r="J50" s="19">
        <v>1000.0</v>
      </c>
      <c r="K50" s="67" t="s">
        <v>115</v>
      </c>
      <c r="L50" s="1"/>
      <c r="M50" s="1"/>
      <c r="N50" s="1"/>
      <c r="O50" s="1"/>
      <c r="P50" s="1"/>
      <c r="Q50" s="1"/>
      <c r="R50" s="1"/>
      <c r="S50" s="1"/>
      <c r="T50" s="1"/>
      <c r="U50" s="1"/>
      <c r="V50" s="1"/>
      <c r="W50" s="1"/>
      <c r="X50" s="1"/>
      <c r="Y50" s="1"/>
      <c r="Z50" s="1"/>
      <c r="AA50" s="1"/>
      <c r="AB50" s="1"/>
      <c r="AC50" s="1"/>
    </row>
    <row r="51">
      <c r="A51" s="1"/>
      <c r="B51" s="7" t="s">
        <v>116</v>
      </c>
      <c r="C51" s="1"/>
      <c r="D51" s="1"/>
      <c r="E51" s="1"/>
      <c r="F51" s="115" t="s">
        <v>117</v>
      </c>
      <c r="G51" s="1"/>
      <c r="H51" s="1"/>
      <c r="I51" s="1"/>
      <c r="J51" s="8">
        <v>0.65</v>
      </c>
      <c r="K51" s="67"/>
      <c r="L51" s="1"/>
      <c r="M51" s="1"/>
      <c r="N51" s="1"/>
      <c r="O51" s="1"/>
      <c r="P51" s="1"/>
      <c r="Q51" s="1"/>
      <c r="R51" s="1"/>
      <c r="S51" s="1"/>
      <c r="T51" s="1"/>
      <c r="U51" s="1"/>
      <c r="V51" s="1"/>
      <c r="W51" s="1"/>
      <c r="X51" s="1"/>
      <c r="Y51" s="1"/>
      <c r="Z51" s="1"/>
      <c r="AA51" s="1"/>
      <c r="AB51" s="1"/>
      <c r="AC51" s="1"/>
    </row>
    <row r="52">
      <c r="A52" s="1"/>
      <c r="B52" s="82" t="s">
        <v>118</v>
      </c>
      <c r="C52" s="37"/>
      <c r="D52" s="37"/>
      <c r="E52" s="37"/>
      <c r="F52" s="116" t="s">
        <v>119</v>
      </c>
      <c r="G52" s="37"/>
      <c r="H52" s="37"/>
      <c r="I52" s="37"/>
      <c r="J52" s="83">
        <f>((22/7)/4)*(G34^2)</f>
        <v>0.000154</v>
      </c>
      <c r="K52" s="67" t="s">
        <v>120</v>
      </c>
      <c r="L52" s="1"/>
      <c r="M52" s="1"/>
      <c r="N52" s="1"/>
      <c r="O52" s="1"/>
      <c r="P52" s="1"/>
      <c r="Q52" s="1"/>
      <c r="R52" s="1"/>
      <c r="S52" s="1"/>
      <c r="T52" s="1"/>
      <c r="U52" s="1"/>
      <c r="V52" s="1"/>
      <c r="W52" s="1"/>
      <c r="X52" s="1"/>
      <c r="Y52" s="1"/>
      <c r="Z52" s="1"/>
      <c r="AA52" s="1"/>
      <c r="AB52" s="1"/>
      <c r="AC52" s="1"/>
    </row>
    <row r="53">
      <c r="A53" s="1"/>
      <c r="B53" s="82" t="s">
        <v>121</v>
      </c>
      <c r="C53" s="37"/>
      <c r="D53" s="37"/>
      <c r="E53" s="37"/>
      <c r="F53" s="116" t="s">
        <v>122</v>
      </c>
      <c r="G53" s="37"/>
      <c r="H53" s="37"/>
      <c r="I53" s="37"/>
      <c r="J53" s="83">
        <f>((22/7)/4)*(G32^2)</f>
        <v>0.000616</v>
      </c>
      <c r="K53" s="67" t="s">
        <v>123</v>
      </c>
      <c r="L53" s="1"/>
      <c r="M53" s="1"/>
      <c r="N53" s="1"/>
      <c r="O53" s="1"/>
      <c r="P53" s="1"/>
      <c r="Q53" s="1"/>
      <c r="R53" s="1"/>
      <c r="S53" s="1"/>
      <c r="T53" s="1"/>
      <c r="U53" s="1"/>
      <c r="V53" s="1"/>
      <c r="W53" s="1"/>
      <c r="X53" s="1"/>
      <c r="Y53" s="1"/>
      <c r="Z53" s="1"/>
      <c r="AA53" s="1"/>
      <c r="AB53" s="1"/>
      <c r="AC53" s="1"/>
    </row>
    <row r="54">
      <c r="A54" s="1"/>
      <c r="B54" s="7" t="s">
        <v>14</v>
      </c>
      <c r="C54" s="1"/>
      <c r="D54" s="1"/>
      <c r="E54" s="1"/>
      <c r="F54" s="7" t="s">
        <v>15</v>
      </c>
      <c r="G54" s="1"/>
      <c r="H54" s="1"/>
      <c r="I54" s="1"/>
      <c r="J54" s="8">
        <v>9.8</v>
      </c>
      <c r="K54" s="67"/>
      <c r="L54" s="1"/>
      <c r="M54" s="1"/>
      <c r="N54" s="1"/>
      <c r="O54" s="1"/>
      <c r="P54" s="1"/>
      <c r="Q54" s="1"/>
      <c r="R54" s="1"/>
      <c r="S54" s="1"/>
      <c r="T54" s="1"/>
      <c r="U54" s="1"/>
      <c r="V54" s="1"/>
      <c r="W54" s="1"/>
      <c r="X54" s="1"/>
      <c r="Y54" s="1"/>
      <c r="Z54" s="1"/>
      <c r="AA54" s="1"/>
      <c r="AB54" s="1"/>
      <c r="AC54" s="1"/>
    </row>
    <row r="55">
      <c r="A55" s="1"/>
      <c r="B55" s="7" t="s">
        <v>124</v>
      </c>
      <c r="C55" s="1"/>
      <c r="D55" s="1"/>
      <c r="E55" s="1"/>
      <c r="F55" s="7" t="s">
        <v>125</v>
      </c>
      <c r="G55" s="1"/>
      <c r="H55" s="1"/>
      <c r="I55" s="1"/>
      <c r="J55" s="41">
        <f>J51*J52*(2*J54*O38*(J50/(J49-1)))^(1/2)</f>
        <v>0.00517795532</v>
      </c>
      <c r="K55" s="67" t="s">
        <v>53</v>
      </c>
      <c r="L55" s="1"/>
      <c r="M55" s="1"/>
      <c r="N55" s="1"/>
      <c r="O55" s="1"/>
      <c r="P55" s="1"/>
      <c r="Q55" s="1"/>
      <c r="R55" s="1"/>
      <c r="S55" s="1"/>
      <c r="T55" s="1"/>
      <c r="U55" s="1"/>
      <c r="V55" s="1"/>
      <c r="W55" s="1"/>
      <c r="X55" s="1"/>
      <c r="Y55" s="1"/>
      <c r="Z55" s="1"/>
      <c r="AA55" s="1"/>
      <c r="AB55" s="1"/>
      <c r="AC55" s="1"/>
    </row>
    <row r="56">
      <c r="A56" s="1"/>
      <c r="B56" s="39"/>
      <c r="C56" s="1"/>
      <c r="D56" s="1"/>
      <c r="E56" s="1"/>
      <c r="F56" s="1"/>
      <c r="G56" s="1"/>
      <c r="H56" s="1"/>
      <c r="I56" s="1"/>
      <c r="K56" s="67"/>
      <c r="L56" s="1"/>
      <c r="M56" s="1"/>
      <c r="N56" s="1"/>
      <c r="O56" s="1"/>
      <c r="P56" s="1"/>
      <c r="Q56" s="1"/>
      <c r="R56" s="1"/>
      <c r="S56" s="1"/>
      <c r="T56" s="1"/>
      <c r="U56" s="1"/>
      <c r="V56" s="1"/>
      <c r="W56" s="1"/>
      <c r="X56" s="1"/>
      <c r="Y56" s="1"/>
      <c r="Z56" s="1"/>
      <c r="AA56" s="1"/>
      <c r="AB56" s="1"/>
      <c r="AC56" s="1"/>
    </row>
    <row r="57">
      <c r="A57" s="1"/>
      <c r="B57" s="7" t="s">
        <v>126</v>
      </c>
      <c r="C57" s="84"/>
      <c r="D57" s="84"/>
      <c r="E57" s="84"/>
      <c r="F57" s="40" t="s">
        <v>127</v>
      </c>
      <c r="G57" s="1"/>
      <c r="H57" s="1"/>
      <c r="I57" s="1"/>
      <c r="J57" s="41">
        <f>J55/J53</f>
        <v>8.405771624</v>
      </c>
      <c r="K57" s="67" t="s">
        <v>128</v>
      </c>
      <c r="L57" s="1"/>
      <c r="M57" s="1"/>
      <c r="N57" s="1"/>
      <c r="O57" s="1"/>
      <c r="P57" s="1"/>
      <c r="Q57" s="1"/>
      <c r="R57" s="1"/>
      <c r="S57" s="1"/>
      <c r="T57" s="1"/>
      <c r="U57" s="1"/>
      <c r="V57" s="1"/>
      <c r="W57" s="1"/>
      <c r="X57" s="1"/>
      <c r="Y57" s="1"/>
      <c r="Z57" s="1"/>
      <c r="AA57" s="1"/>
      <c r="AB57" s="1"/>
      <c r="AC57" s="1"/>
    </row>
    <row r="58">
      <c r="A58" s="1"/>
      <c r="B58" s="85" t="s">
        <v>129</v>
      </c>
      <c r="C58" s="10"/>
      <c r="D58" s="10"/>
      <c r="E58" s="11"/>
      <c r="F58" s="40" t="s">
        <v>130</v>
      </c>
      <c r="G58" s="1"/>
      <c r="H58" s="1"/>
      <c r="I58" s="1"/>
      <c r="J58" s="41">
        <f>1/(J57+273)</f>
        <v>0.003553587385</v>
      </c>
      <c r="K58" s="67" t="s">
        <v>71</v>
      </c>
      <c r="L58" s="1"/>
      <c r="M58" s="1"/>
      <c r="N58" s="1"/>
      <c r="O58" s="1"/>
      <c r="P58" s="1"/>
      <c r="Q58" s="1"/>
      <c r="R58" s="1"/>
      <c r="S58" s="1"/>
      <c r="T58" s="1"/>
      <c r="U58" s="1"/>
      <c r="V58" s="1"/>
      <c r="W58" s="1"/>
      <c r="X58" s="1"/>
      <c r="Y58" s="1"/>
      <c r="Z58" s="1"/>
      <c r="AA58" s="1"/>
      <c r="AB58" s="1"/>
      <c r="AC58" s="1"/>
    </row>
    <row r="59">
      <c r="A59" s="1"/>
      <c r="B59" s="7"/>
      <c r="C59" s="1"/>
      <c r="D59" s="1"/>
      <c r="E59" s="1"/>
      <c r="F59" s="7"/>
      <c r="G59" s="1"/>
      <c r="H59" s="1"/>
      <c r="I59" s="1"/>
      <c r="J59" s="86"/>
      <c r="K59" s="67"/>
      <c r="L59" s="21"/>
      <c r="M59" s="1"/>
      <c r="N59" s="1"/>
      <c r="O59" s="1"/>
      <c r="P59" s="1"/>
      <c r="Q59" s="1"/>
      <c r="R59" s="1"/>
      <c r="S59" s="1"/>
      <c r="T59" s="1"/>
      <c r="U59" s="1"/>
      <c r="V59" s="1"/>
      <c r="W59" s="1"/>
      <c r="X59" s="1"/>
      <c r="Y59" s="1"/>
      <c r="Z59" s="1"/>
      <c r="AA59" s="1"/>
      <c r="AB59" s="1"/>
      <c r="AC59" s="1"/>
    </row>
    <row r="60">
      <c r="A60" s="1"/>
      <c r="B60" s="22" t="s">
        <v>131</v>
      </c>
      <c r="C60" s="23"/>
      <c r="D60" s="23"/>
      <c r="E60" s="23"/>
      <c r="F60" s="22" t="s">
        <v>132</v>
      </c>
      <c r="G60" s="23"/>
      <c r="H60" s="23"/>
      <c r="I60" s="23"/>
      <c r="J60" s="87"/>
      <c r="K60" s="67"/>
      <c r="M60" s="1"/>
      <c r="N60" s="1"/>
      <c r="O60" s="1"/>
      <c r="P60" s="1"/>
      <c r="Q60" s="1"/>
      <c r="R60" s="1"/>
      <c r="S60" s="1"/>
      <c r="T60" s="1"/>
      <c r="U60" s="1"/>
      <c r="V60" s="1"/>
      <c r="W60" s="1"/>
      <c r="X60" s="1"/>
      <c r="Y60" s="1"/>
      <c r="Z60" s="1"/>
      <c r="AA60" s="1"/>
      <c r="AB60" s="1"/>
      <c r="AC60" s="1"/>
    </row>
    <row r="61">
      <c r="A61" s="1"/>
      <c r="B61" s="7" t="s">
        <v>133</v>
      </c>
      <c r="C61" s="1"/>
      <c r="D61" s="1"/>
      <c r="E61" s="1"/>
      <c r="F61" s="7" t="s">
        <v>134</v>
      </c>
      <c r="G61" s="1"/>
      <c r="H61" s="1"/>
      <c r="I61" s="1"/>
      <c r="J61" s="41"/>
      <c r="K61" s="67" t="s">
        <v>64</v>
      </c>
      <c r="L61" s="1"/>
      <c r="M61" s="1"/>
      <c r="N61" s="1"/>
      <c r="O61" s="1"/>
      <c r="P61" s="1"/>
      <c r="Q61" s="1"/>
      <c r="R61" s="1"/>
      <c r="S61" s="1"/>
      <c r="T61" s="1"/>
      <c r="U61" s="1"/>
      <c r="V61" s="1"/>
      <c r="W61" s="1"/>
      <c r="X61" s="1"/>
      <c r="Y61" s="1"/>
      <c r="Z61" s="1"/>
      <c r="AA61" s="1"/>
      <c r="AB61" s="1"/>
      <c r="AC61" s="1"/>
    </row>
    <row r="62">
      <c r="A62" s="23"/>
      <c r="B62" s="39" t="s">
        <v>135</v>
      </c>
      <c r="C62" s="56"/>
      <c r="D62" s="56"/>
      <c r="E62" s="56"/>
      <c r="F62" s="77" t="s">
        <v>136</v>
      </c>
      <c r="G62" s="56"/>
      <c r="H62" s="56"/>
      <c r="I62" s="56"/>
      <c r="J62" s="79"/>
      <c r="K62" s="89"/>
      <c r="L62" s="1"/>
      <c r="M62" s="1"/>
      <c r="N62" s="1"/>
      <c r="O62" s="1"/>
      <c r="P62" s="1"/>
      <c r="Q62" s="1"/>
      <c r="R62" s="1"/>
      <c r="S62" s="1"/>
      <c r="T62" s="1"/>
      <c r="U62" s="1"/>
      <c r="V62" s="1"/>
      <c r="W62" s="1"/>
      <c r="X62" s="1"/>
      <c r="Y62" s="1"/>
      <c r="Z62" s="1"/>
      <c r="AA62" s="1"/>
      <c r="AB62" s="1"/>
      <c r="AC62" s="1"/>
    </row>
    <row r="63">
      <c r="A63" s="23"/>
      <c r="B63" s="39"/>
      <c r="C63" s="56"/>
      <c r="D63" s="56"/>
      <c r="E63" s="56"/>
      <c r="F63" s="77"/>
      <c r="G63" s="56"/>
      <c r="H63" s="56"/>
      <c r="I63" s="56"/>
      <c r="J63" s="79"/>
      <c r="K63" s="67"/>
      <c r="L63" s="21"/>
      <c r="M63" s="1"/>
      <c r="N63" s="1"/>
      <c r="O63" s="1"/>
      <c r="P63" s="1"/>
      <c r="Q63" s="1"/>
      <c r="R63" s="1"/>
      <c r="S63" s="1"/>
      <c r="T63" s="1"/>
      <c r="U63" s="1"/>
      <c r="V63" s="1"/>
      <c r="W63" s="1"/>
      <c r="X63" s="1"/>
      <c r="Y63" s="1"/>
      <c r="Z63" s="1"/>
      <c r="AA63" s="1"/>
      <c r="AB63" s="1"/>
      <c r="AC63" s="1"/>
    </row>
    <row r="64">
      <c r="A64" s="1"/>
      <c r="B64" s="7" t="s">
        <v>76</v>
      </c>
      <c r="C64" s="1"/>
      <c r="D64" s="1"/>
      <c r="E64" s="1"/>
      <c r="F64" s="7" t="s">
        <v>77</v>
      </c>
      <c r="G64" s="1"/>
      <c r="H64" s="1"/>
      <c r="I64" s="1"/>
      <c r="J64" s="41" t="str">
        <f>R38</f>
        <v/>
      </c>
      <c r="K64" s="67" t="s">
        <v>64</v>
      </c>
      <c r="L64" s="21" t="s">
        <v>75</v>
      </c>
      <c r="M64" s="1"/>
      <c r="N64" s="1"/>
      <c r="O64" s="1"/>
      <c r="P64" s="1"/>
      <c r="Q64" s="1"/>
      <c r="R64" s="1"/>
      <c r="S64" s="1"/>
      <c r="T64" s="1"/>
      <c r="U64" s="1"/>
      <c r="V64" s="1"/>
      <c r="W64" s="1"/>
      <c r="X64" s="1"/>
      <c r="Y64" s="1"/>
      <c r="Z64" s="1"/>
      <c r="AA64" s="1"/>
      <c r="AB64" s="1"/>
      <c r="AC64" s="1"/>
    </row>
    <row r="65">
      <c r="A65" s="1"/>
      <c r="B65" s="7" t="s">
        <v>78</v>
      </c>
      <c r="C65" s="1"/>
      <c r="D65" s="1"/>
      <c r="E65" s="1"/>
      <c r="F65" s="1"/>
      <c r="G65" s="1"/>
      <c r="H65" s="1"/>
      <c r="I65" s="1"/>
      <c r="J65" s="8">
        <f>J61*J64</f>
        <v>0</v>
      </c>
      <c r="K65" s="67" t="s">
        <v>64</v>
      </c>
      <c r="L65" s="1"/>
      <c r="M65" s="1"/>
      <c r="N65" s="1"/>
      <c r="O65" s="1"/>
      <c r="P65" s="1"/>
      <c r="Q65" s="1"/>
      <c r="R65" s="1"/>
      <c r="S65" s="1"/>
      <c r="T65" s="1"/>
      <c r="U65" s="1"/>
      <c r="V65" s="1"/>
      <c r="W65" s="1"/>
      <c r="X65" s="1"/>
      <c r="Y65" s="1"/>
      <c r="Z65" s="1"/>
      <c r="AA65" s="1"/>
      <c r="AB65" s="1"/>
      <c r="AC65" s="1"/>
    </row>
    <row r="66">
      <c r="A66" s="37"/>
      <c r="B66" s="82" t="s">
        <v>79</v>
      </c>
      <c r="C66" s="37"/>
      <c r="D66" s="37" t="str">
        <f>IFS((10^4)&lt;J65&lt;(10^8),D68,J65&gt;(10^8),D69,J65&lt;(10^4),B82)</f>
        <v>Invalid 'Ra' Value or less than 10^4</v>
      </c>
      <c r="E66" s="37"/>
      <c r="F66" s="37"/>
      <c r="G66" s="37"/>
      <c r="H66" s="37"/>
      <c r="I66" s="37"/>
      <c r="J66" s="83" t="str">
        <f>IFS((10^4)&lt;J65&lt;(10^8),(0.56*(J65^0.25)),J65&gt;(10^8),(0.13*(J65^(1/3))),J65&lt;(10^4),B82)</f>
        <v>Invalid 'Ra' Value or less than 10^4</v>
      </c>
      <c r="K66" s="67" t="s">
        <v>64</v>
      </c>
      <c r="L66" s="1"/>
      <c r="M66" s="1"/>
      <c r="N66" s="1"/>
      <c r="O66" s="1"/>
      <c r="P66" s="1"/>
      <c r="Q66" s="1"/>
      <c r="R66" s="1"/>
      <c r="S66" s="1"/>
      <c r="T66" s="1"/>
      <c r="U66" s="1"/>
      <c r="V66" s="1"/>
      <c r="W66" s="1"/>
      <c r="X66" s="1"/>
      <c r="Y66" s="1"/>
      <c r="Z66" s="1"/>
      <c r="AA66" s="1"/>
      <c r="AB66" s="1"/>
      <c r="AC66" s="1"/>
    </row>
    <row r="67">
      <c r="A67" s="37"/>
      <c r="B67" s="90"/>
      <c r="C67" s="91"/>
      <c r="D67" s="92"/>
      <c r="E67" s="37"/>
      <c r="F67" s="37"/>
      <c r="G67" s="37"/>
      <c r="H67" s="37"/>
      <c r="I67" s="37"/>
      <c r="J67" s="83"/>
      <c r="K67" s="89"/>
      <c r="L67" s="1"/>
      <c r="M67" s="1"/>
      <c r="N67" s="1"/>
      <c r="O67" s="1"/>
      <c r="P67" s="1"/>
      <c r="Q67" s="1"/>
      <c r="R67" s="1"/>
      <c r="S67" s="1"/>
      <c r="T67" s="1"/>
      <c r="U67" s="1"/>
      <c r="V67" s="1"/>
      <c r="W67" s="1"/>
      <c r="X67" s="1"/>
      <c r="Y67" s="1"/>
      <c r="Z67" s="1"/>
      <c r="AA67" s="1"/>
      <c r="AB67" s="1"/>
      <c r="AC67" s="1"/>
    </row>
    <row r="68">
      <c r="A68" s="93" t="s">
        <v>80</v>
      </c>
      <c r="B68" s="93" t="s">
        <v>81</v>
      </c>
      <c r="C68" s="94"/>
      <c r="D68" s="92" t="s">
        <v>82</v>
      </c>
      <c r="E68" s="1"/>
      <c r="F68" s="1"/>
      <c r="G68" s="1"/>
      <c r="H68" s="1"/>
      <c r="I68" s="1"/>
      <c r="J68" s="41"/>
      <c r="K68" s="89"/>
      <c r="L68" s="1"/>
      <c r="M68" s="1"/>
      <c r="N68" s="1"/>
      <c r="O68" s="1"/>
      <c r="P68" s="1"/>
      <c r="Q68" s="1"/>
      <c r="R68" s="1"/>
      <c r="S68" s="1"/>
      <c r="T68" s="1"/>
      <c r="U68" s="1"/>
      <c r="V68" s="1"/>
      <c r="W68" s="1"/>
      <c r="X68" s="1"/>
      <c r="Y68" s="1"/>
      <c r="Z68" s="1"/>
      <c r="AA68" s="1"/>
      <c r="AB68" s="1"/>
      <c r="AC68" s="1"/>
    </row>
    <row r="69">
      <c r="A69" s="1"/>
      <c r="B69" s="93" t="s">
        <v>83</v>
      </c>
      <c r="C69" s="94"/>
      <c r="D69" s="92" t="s">
        <v>84</v>
      </c>
      <c r="E69" s="1"/>
      <c r="F69" s="1"/>
      <c r="G69" s="1"/>
      <c r="H69" s="1"/>
      <c r="I69" s="1"/>
      <c r="J69" s="41"/>
      <c r="K69" s="89"/>
      <c r="L69" s="1"/>
      <c r="M69" s="1"/>
      <c r="N69" s="1"/>
      <c r="O69" s="1"/>
      <c r="P69" s="1"/>
      <c r="Q69" s="1"/>
      <c r="R69" s="1"/>
      <c r="S69" s="1"/>
      <c r="T69" s="1"/>
      <c r="U69" s="1"/>
      <c r="V69" s="1"/>
      <c r="W69" s="1"/>
      <c r="X69" s="1"/>
      <c r="Y69" s="1"/>
      <c r="Z69" s="1"/>
      <c r="AA69" s="1"/>
      <c r="AB69" s="1"/>
      <c r="AC69" s="1"/>
    </row>
    <row r="70">
      <c r="A70" s="1"/>
      <c r="B70" s="32"/>
      <c r="C70" s="32"/>
      <c r="D70" s="32"/>
      <c r="E70" s="32"/>
      <c r="F70" s="32"/>
      <c r="G70" s="32"/>
      <c r="H70" s="32"/>
      <c r="I70" s="32"/>
      <c r="J70" s="95"/>
      <c r="K70" s="89"/>
      <c r="L70" s="1"/>
      <c r="M70" s="1"/>
      <c r="N70" s="1"/>
      <c r="O70" s="1"/>
      <c r="P70" s="1"/>
      <c r="Q70" s="1"/>
      <c r="R70" s="1"/>
      <c r="S70" s="1"/>
      <c r="T70" s="1"/>
      <c r="U70" s="1"/>
      <c r="V70" s="1"/>
      <c r="W70" s="1"/>
      <c r="X70" s="1"/>
      <c r="Y70" s="1"/>
      <c r="Z70" s="1"/>
      <c r="AA70" s="1"/>
      <c r="AB70" s="1"/>
      <c r="AC70" s="1"/>
    </row>
    <row r="71">
      <c r="A71" s="1"/>
      <c r="B71" s="37"/>
      <c r="C71" s="37"/>
      <c r="D71" s="37"/>
      <c r="E71" s="37"/>
      <c r="F71" s="37"/>
      <c r="G71" s="37"/>
      <c r="H71" s="37"/>
      <c r="I71" s="37"/>
      <c r="J71" s="83"/>
      <c r="K71" s="89"/>
      <c r="L71" s="1"/>
      <c r="M71" s="1"/>
      <c r="N71" s="1"/>
      <c r="O71" s="1"/>
      <c r="P71" s="1"/>
      <c r="Q71" s="1"/>
      <c r="R71" s="1"/>
      <c r="S71" s="1"/>
      <c r="T71" s="1"/>
      <c r="U71" s="1"/>
      <c r="V71" s="1"/>
      <c r="W71" s="1"/>
      <c r="X71" s="1"/>
      <c r="Y71" s="1"/>
      <c r="Z71" s="1"/>
      <c r="AA71" s="1"/>
      <c r="AB71" s="1"/>
      <c r="AC71" s="1"/>
    </row>
    <row r="72">
      <c r="A72" s="1"/>
      <c r="B72" s="1"/>
      <c r="C72" s="1"/>
      <c r="D72" s="1"/>
      <c r="E72" s="1"/>
      <c r="F72" s="7" t="s">
        <v>85</v>
      </c>
      <c r="G72" s="1"/>
      <c r="H72" s="1"/>
      <c r="I72" s="1"/>
      <c r="J72" s="41" t="str">
        <f>#REF!</f>
        <v>#REF!</v>
      </c>
      <c r="K72" s="67" t="s">
        <v>61</v>
      </c>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41"/>
      <c r="K73" s="89"/>
      <c r="L73" s="1"/>
      <c r="M73" s="1"/>
      <c r="N73" s="1"/>
      <c r="O73" s="1"/>
      <c r="P73" s="1"/>
      <c r="Q73" s="1"/>
      <c r="R73" s="1"/>
      <c r="S73" s="1"/>
      <c r="T73" s="1"/>
      <c r="U73" s="1"/>
      <c r="V73" s="1"/>
      <c r="W73" s="1"/>
      <c r="X73" s="1"/>
      <c r="Y73" s="1"/>
      <c r="Z73" s="1"/>
      <c r="AA73" s="1"/>
      <c r="AB73" s="1"/>
      <c r="AC73" s="1"/>
    </row>
    <row r="74">
      <c r="A74" s="1"/>
      <c r="B74" s="7" t="s">
        <v>86</v>
      </c>
      <c r="C74" s="1"/>
      <c r="D74" s="1"/>
      <c r="E74" s="1"/>
      <c r="F74" s="7" t="s">
        <v>87</v>
      </c>
      <c r="G74" s="1"/>
      <c r="H74" s="1"/>
      <c r="I74" s="1"/>
      <c r="J74" s="41" t="str">
        <f>S38</f>
        <v/>
      </c>
      <c r="K74" s="67" t="s">
        <v>88</v>
      </c>
      <c r="L74" s="21" t="s">
        <v>75</v>
      </c>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41"/>
      <c r="K75" s="89"/>
      <c r="L75" s="1"/>
      <c r="M75" s="1"/>
      <c r="N75" s="1"/>
      <c r="O75" s="1"/>
      <c r="P75" s="1"/>
      <c r="Q75" s="1"/>
      <c r="R75" s="1"/>
      <c r="S75" s="1"/>
      <c r="T75" s="1"/>
      <c r="U75" s="1"/>
      <c r="V75" s="1"/>
      <c r="W75" s="1"/>
      <c r="X75" s="1"/>
      <c r="Y75" s="1"/>
      <c r="Z75" s="1"/>
      <c r="AA75" s="1"/>
      <c r="AB75" s="1"/>
      <c r="AC75" s="1"/>
    </row>
    <row r="76">
      <c r="A76" s="1"/>
      <c r="B76" s="32"/>
      <c r="C76" s="32"/>
      <c r="D76" s="32"/>
      <c r="E76" s="32"/>
      <c r="F76" s="32"/>
      <c r="G76" s="32"/>
      <c r="H76" s="32"/>
      <c r="I76" s="32"/>
      <c r="J76" s="88"/>
      <c r="K76" s="89"/>
      <c r="L76" s="1"/>
      <c r="M76" s="1"/>
      <c r="N76" s="1"/>
      <c r="O76" s="1"/>
      <c r="P76" s="1"/>
      <c r="Q76" s="1"/>
      <c r="R76" s="1"/>
      <c r="S76" s="1"/>
      <c r="T76" s="1"/>
      <c r="U76" s="1"/>
      <c r="V76" s="1"/>
      <c r="W76" s="1"/>
      <c r="X76" s="1"/>
      <c r="Y76" s="1"/>
      <c r="Z76" s="1"/>
      <c r="AA76" s="1"/>
      <c r="AB76" s="1"/>
      <c r="AC76" s="1"/>
    </row>
    <row r="77">
      <c r="A77" s="1"/>
      <c r="B77" s="37"/>
      <c r="C77" s="37"/>
      <c r="D77" s="37"/>
      <c r="E77" s="37"/>
      <c r="F77" s="37"/>
      <c r="G77" s="37"/>
      <c r="H77" s="37"/>
      <c r="I77" s="37"/>
      <c r="J77" s="37"/>
      <c r="K77" s="1"/>
      <c r="L77" s="1"/>
      <c r="M77" s="1"/>
      <c r="N77" s="1"/>
      <c r="O77" s="1"/>
      <c r="P77" s="1"/>
      <c r="Q77" s="1"/>
      <c r="R77" s="1"/>
      <c r="S77" s="1"/>
      <c r="T77" s="1"/>
      <c r="U77" s="1"/>
      <c r="V77" s="1"/>
      <c r="W77" s="1"/>
      <c r="X77" s="1"/>
      <c r="Y77" s="1"/>
      <c r="Z77" s="1"/>
      <c r="AA77" s="1"/>
      <c r="AB77" s="1"/>
      <c r="AC77" s="1"/>
    </row>
    <row r="78">
      <c r="A78" s="1"/>
      <c r="B78" s="1"/>
      <c r="C78" s="1"/>
      <c r="D78" s="1"/>
      <c r="E78" s="1"/>
      <c r="F78" s="96" t="s">
        <v>89</v>
      </c>
      <c r="G78" s="1"/>
      <c r="H78" s="1"/>
      <c r="I78" s="1"/>
      <c r="J78" s="1"/>
      <c r="K78" s="1"/>
      <c r="L78" s="1"/>
      <c r="M78" s="1"/>
      <c r="N78" s="1"/>
      <c r="O78" s="1"/>
      <c r="P78" s="1"/>
      <c r="Q78" s="1"/>
      <c r="R78" s="1"/>
      <c r="S78" s="1"/>
      <c r="T78" s="1"/>
      <c r="U78" s="1"/>
      <c r="V78" s="1"/>
      <c r="W78" s="1"/>
      <c r="X78" s="1"/>
      <c r="Y78" s="1"/>
      <c r="Z78" s="1"/>
      <c r="AA78" s="1"/>
      <c r="AB78" s="1"/>
      <c r="AC78" s="1"/>
    </row>
    <row r="79">
      <c r="A79" s="1"/>
      <c r="B79" s="7"/>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7"/>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7" t="s">
        <v>90</v>
      </c>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7" t="s">
        <v>91</v>
      </c>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row>
  </sheetData>
  <mergeCells count="49">
    <mergeCell ref="E26:F26"/>
    <mergeCell ref="E27:F27"/>
    <mergeCell ref="B31:C31"/>
    <mergeCell ref="B32:C32"/>
    <mergeCell ref="B33:C33"/>
    <mergeCell ref="B36:B37"/>
    <mergeCell ref="C36:D37"/>
    <mergeCell ref="C38:D38"/>
    <mergeCell ref="E38:F38"/>
    <mergeCell ref="C39:D39"/>
    <mergeCell ref="E39:F39"/>
    <mergeCell ref="E40:F40"/>
    <mergeCell ref="E41:F41"/>
    <mergeCell ref="E42:F42"/>
    <mergeCell ref="A4:B4"/>
    <mergeCell ref="E4:F4"/>
    <mergeCell ref="A5:J5"/>
    <mergeCell ref="A6:B6"/>
    <mergeCell ref="E6:F6"/>
    <mergeCell ref="E7:F7"/>
    <mergeCell ref="A8:J8"/>
    <mergeCell ref="E15:F15"/>
    <mergeCell ref="E16:F16"/>
    <mergeCell ref="A17:J17"/>
    <mergeCell ref="E9:F9"/>
    <mergeCell ref="E10:F10"/>
    <mergeCell ref="E11:F11"/>
    <mergeCell ref="A12:F12"/>
    <mergeCell ref="A13:F13"/>
    <mergeCell ref="A14:C14"/>
    <mergeCell ref="E14:F14"/>
    <mergeCell ref="A7:B7"/>
    <mergeCell ref="A9:B9"/>
    <mergeCell ref="A10:B10"/>
    <mergeCell ref="A11:B11"/>
    <mergeCell ref="A25:C25"/>
    <mergeCell ref="E25:F25"/>
    <mergeCell ref="A26:C26"/>
    <mergeCell ref="E36:F37"/>
    <mergeCell ref="G36:L36"/>
    <mergeCell ref="M36:O36"/>
    <mergeCell ref="Q36:Q37"/>
    <mergeCell ref="R36:R37"/>
    <mergeCell ref="S36:S37"/>
    <mergeCell ref="C41:D41"/>
    <mergeCell ref="C42:D42"/>
    <mergeCell ref="Q43:S43"/>
    <mergeCell ref="C40:D40"/>
    <mergeCell ref="B58:E5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2.88"/>
    <col customWidth="1" min="3" max="6" width="6.38"/>
    <col customWidth="1" min="7" max="9" width="8.13"/>
    <col customWidth="1" min="10" max="10" width="11.0"/>
    <col customWidth="1" min="11" max="12" width="8.13"/>
    <col customWidth="1" min="13" max="15" width="7.25"/>
    <col customWidth="1" min="16" max="16" width="5.0"/>
    <col customWidth="1" min="18" max="18" width="12.13"/>
    <col customWidth="1" min="19" max="19" width="13.8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2" t="s">
        <v>137</v>
      </c>
      <c r="C2" s="1"/>
      <c r="D2" s="1"/>
      <c r="E2" s="1"/>
      <c r="G2" s="1"/>
      <c r="H2" s="1"/>
      <c r="I2" s="1"/>
      <c r="J2" s="1"/>
      <c r="K2" s="1"/>
      <c r="L2" s="1"/>
      <c r="M2" s="1"/>
      <c r="N2" s="1"/>
      <c r="O2" s="1"/>
      <c r="P2" s="3"/>
      <c r="Q2" s="1"/>
      <c r="R2" s="1"/>
      <c r="S2" s="1"/>
      <c r="T2" s="1"/>
      <c r="U2" s="1"/>
      <c r="V2" s="1"/>
      <c r="W2" s="1"/>
      <c r="X2" s="1"/>
      <c r="Y2" s="1"/>
      <c r="Z2" s="1"/>
      <c r="AA2" s="1"/>
      <c r="AB2" s="1"/>
      <c r="AC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row>
    <row r="4">
      <c r="A4" s="5" t="s">
        <v>2</v>
      </c>
      <c r="B4" s="6"/>
      <c r="C4" s="1"/>
      <c r="D4" s="7"/>
      <c r="E4" s="8"/>
      <c r="F4" s="6"/>
      <c r="G4" s="7"/>
      <c r="H4" s="1"/>
      <c r="I4" s="1"/>
      <c r="J4" s="7"/>
      <c r="K4" s="1"/>
      <c r="L4" s="1"/>
      <c r="M4" s="1"/>
      <c r="N4" s="1"/>
      <c r="O4" s="1"/>
      <c r="P4" s="1"/>
      <c r="Q4" s="1"/>
      <c r="R4" s="1"/>
      <c r="S4" s="1"/>
      <c r="T4" s="1"/>
      <c r="U4" s="1"/>
      <c r="V4" s="1"/>
      <c r="W4" s="1"/>
      <c r="X4" s="1"/>
      <c r="Y4" s="1"/>
      <c r="Z4" s="1"/>
      <c r="AA4" s="1"/>
      <c r="AB4" s="1"/>
      <c r="AC4" s="1"/>
    </row>
    <row r="5">
      <c r="A5" s="9" t="s">
        <v>3</v>
      </c>
      <c r="B5" s="10"/>
      <c r="C5" s="10"/>
      <c r="D5" s="10"/>
      <c r="E5" s="10"/>
      <c r="F5" s="10"/>
      <c r="G5" s="10"/>
      <c r="H5" s="10"/>
      <c r="I5" s="10"/>
      <c r="J5" s="11"/>
      <c r="K5" s="1"/>
      <c r="L5" s="1"/>
      <c r="M5" s="1"/>
      <c r="N5" s="1"/>
      <c r="O5" s="1"/>
      <c r="P5" s="1"/>
      <c r="Q5" s="1"/>
      <c r="R5" s="1"/>
      <c r="S5" s="1"/>
      <c r="T5" s="1"/>
      <c r="U5" s="1"/>
      <c r="V5" s="1"/>
      <c r="W5" s="1"/>
      <c r="X5" s="1"/>
      <c r="Y5" s="1"/>
      <c r="Z5" s="1"/>
      <c r="AA5" s="1"/>
      <c r="AB5" s="1"/>
      <c r="AC5" s="1"/>
    </row>
    <row r="6">
      <c r="A6" s="8"/>
      <c r="B6" s="6"/>
      <c r="C6" s="1"/>
      <c r="D6" s="1"/>
      <c r="E6" s="12"/>
      <c r="F6" s="6"/>
      <c r="G6" s="7"/>
      <c r="H6" s="7"/>
      <c r="I6" s="1"/>
      <c r="J6" s="1"/>
      <c r="K6" s="1"/>
      <c r="L6" s="1"/>
      <c r="M6" s="1"/>
      <c r="N6" s="1"/>
      <c r="O6" s="1"/>
      <c r="P6" s="1"/>
      <c r="Q6" s="1"/>
      <c r="R6" s="1"/>
      <c r="S6" s="1"/>
      <c r="T6" s="1"/>
      <c r="U6" s="1"/>
      <c r="V6" s="1"/>
      <c r="W6" s="1"/>
      <c r="X6" s="1"/>
      <c r="Y6" s="1"/>
      <c r="Z6" s="1"/>
      <c r="AA6" s="1"/>
      <c r="AB6" s="1"/>
      <c r="AC6" s="1"/>
    </row>
    <row r="7">
      <c r="A7" s="13" t="s">
        <v>4</v>
      </c>
      <c r="C7" s="1"/>
      <c r="D7" s="1"/>
      <c r="E7" s="8"/>
      <c r="F7" s="6"/>
      <c r="G7" s="7"/>
      <c r="H7" s="1"/>
      <c r="I7" s="1"/>
      <c r="J7" s="1"/>
      <c r="K7" s="1"/>
      <c r="L7" s="1"/>
      <c r="M7" s="1"/>
      <c r="N7" s="1"/>
      <c r="O7" s="1"/>
      <c r="P7" s="1"/>
      <c r="Q7" s="1"/>
      <c r="R7" s="1"/>
      <c r="S7" s="1"/>
      <c r="T7" s="1"/>
      <c r="U7" s="1"/>
      <c r="V7" s="1"/>
      <c r="W7" s="1"/>
      <c r="X7" s="1"/>
      <c r="Y7" s="1"/>
      <c r="Z7" s="1"/>
      <c r="AA7" s="1"/>
      <c r="AB7" s="1"/>
      <c r="AC7" s="1"/>
    </row>
    <row r="8">
      <c r="A8" s="14" t="s">
        <v>5</v>
      </c>
      <c r="B8" s="15"/>
      <c r="C8" s="15"/>
      <c r="D8" s="15"/>
      <c r="E8" s="15"/>
      <c r="F8" s="15"/>
      <c r="G8" s="15"/>
      <c r="H8" s="15"/>
      <c r="I8" s="15"/>
      <c r="J8" s="6"/>
      <c r="K8" s="1"/>
      <c r="L8" s="1"/>
      <c r="M8" s="1"/>
      <c r="N8" s="1"/>
      <c r="O8" s="1"/>
      <c r="P8" s="1"/>
      <c r="Q8" s="1"/>
      <c r="R8" s="1"/>
      <c r="S8" s="1"/>
      <c r="T8" s="1"/>
      <c r="U8" s="1"/>
      <c r="V8" s="1"/>
      <c r="W8" s="1"/>
      <c r="X8" s="1"/>
      <c r="Y8" s="1"/>
      <c r="Z8" s="1"/>
      <c r="AA8" s="1"/>
      <c r="AB8" s="1"/>
      <c r="AC8" s="1"/>
    </row>
    <row r="9">
      <c r="A9" s="8"/>
      <c r="B9" s="6"/>
      <c r="C9" s="1"/>
      <c r="D9" s="1"/>
      <c r="E9" s="12"/>
      <c r="F9" s="6"/>
      <c r="G9" s="7"/>
      <c r="H9" s="1"/>
      <c r="I9" s="1"/>
      <c r="J9" s="1"/>
      <c r="K9" s="1"/>
      <c r="L9" s="1"/>
      <c r="M9" s="1"/>
      <c r="N9" s="1"/>
      <c r="O9" s="1"/>
      <c r="P9" s="1"/>
      <c r="Q9" s="1"/>
      <c r="R9" s="1"/>
      <c r="S9" s="1"/>
      <c r="T9" s="1"/>
      <c r="U9" s="1"/>
      <c r="V9" s="1"/>
      <c r="W9" s="1"/>
      <c r="X9" s="1"/>
      <c r="Y9" s="1"/>
      <c r="Z9" s="1"/>
      <c r="AA9" s="1"/>
      <c r="AB9" s="1"/>
      <c r="AC9" s="1"/>
    </row>
    <row r="10">
      <c r="A10" s="13" t="s">
        <v>6</v>
      </c>
      <c r="C10" s="1"/>
      <c r="D10" s="1"/>
      <c r="E10" s="12"/>
      <c r="F10" s="6"/>
      <c r="G10" s="7"/>
      <c r="H10" s="1"/>
      <c r="I10" s="1"/>
      <c r="J10" s="1"/>
      <c r="K10" s="1"/>
      <c r="L10" s="1"/>
      <c r="M10" s="1"/>
      <c r="N10" s="1"/>
      <c r="O10" s="1"/>
      <c r="P10" s="1"/>
      <c r="Q10" s="1"/>
      <c r="R10" s="1"/>
      <c r="S10" s="1"/>
      <c r="T10" s="1"/>
      <c r="U10" s="1"/>
      <c r="V10" s="1"/>
      <c r="W10" s="1"/>
      <c r="X10" s="1"/>
      <c r="Y10" s="1"/>
      <c r="Z10" s="1"/>
      <c r="AA10" s="1"/>
      <c r="AB10" s="1"/>
      <c r="AC10" s="1"/>
    </row>
    <row r="11">
      <c r="A11" s="8"/>
      <c r="B11" s="6"/>
      <c r="C11" s="1"/>
      <c r="D11" s="1"/>
      <c r="E11" s="12"/>
      <c r="F11" s="6"/>
      <c r="G11" s="7"/>
      <c r="H11" s="1"/>
      <c r="I11" s="1"/>
      <c r="J11" s="1"/>
      <c r="K11" s="1"/>
      <c r="L11" s="1"/>
      <c r="M11" s="1"/>
      <c r="N11" s="1"/>
      <c r="O11" s="1"/>
      <c r="P11" s="1"/>
      <c r="Q11" s="1"/>
      <c r="R11" s="1"/>
      <c r="S11" s="1"/>
      <c r="T11" s="1"/>
      <c r="U11" s="1"/>
      <c r="V11" s="1"/>
      <c r="W11" s="1"/>
      <c r="X11" s="1"/>
      <c r="Y11" s="1"/>
      <c r="Z11" s="1"/>
      <c r="AA11" s="1"/>
      <c r="AB11" s="1"/>
      <c r="AC11" s="1"/>
    </row>
    <row r="12">
      <c r="A12" s="14" t="s">
        <v>7</v>
      </c>
      <c r="B12" s="15"/>
      <c r="C12" s="15"/>
      <c r="D12" s="15"/>
      <c r="E12" s="15"/>
      <c r="F12" s="15"/>
      <c r="G12" s="16" t="str">
        <f>(#REF!+#REF!+#REF!+#REF!+#REF!)/E26</f>
        <v>#REF!</v>
      </c>
      <c r="H12" s="17"/>
      <c r="I12" s="17"/>
      <c r="J12" s="18"/>
      <c r="K12" s="1"/>
      <c r="L12" s="1"/>
      <c r="M12" s="1"/>
      <c r="N12" s="1"/>
      <c r="O12" s="1"/>
      <c r="P12" s="1"/>
      <c r="Q12" s="1"/>
      <c r="R12" s="1"/>
      <c r="S12" s="1"/>
      <c r="T12" s="1"/>
      <c r="U12" s="1"/>
      <c r="V12" s="1"/>
      <c r="W12" s="1"/>
      <c r="X12" s="1"/>
      <c r="Y12" s="1"/>
      <c r="Z12" s="1"/>
      <c r="AA12" s="1"/>
      <c r="AB12" s="1"/>
      <c r="AC12" s="1"/>
    </row>
    <row r="13">
      <c r="A13" s="14" t="s">
        <v>8</v>
      </c>
      <c r="B13" s="15"/>
      <c r="C13" s="15"/>
      <c r="D13" s="15"/>
      <c r="E13" s="15"/>
      <c r="F13" s="15"/>
      <c r="G13" s="17" t="str">
        <f>(#REF!+#REF!+#REF!+#REF!+#REF!)/E26</f>
        <v>#REF!</v>
      </c>
      <c r="H13" s="17"/>
      <c r="I13" s="17"/>
      <c r="J13" s="18"/>
      <c r="K13" s="1"/>
      <c r="L13" s="1"/>
      <c r="M13" s="1"/>
      <c r="N13" s="1"/>
      <c r="O13" s="1"/>
      <c r="P13" s="1"/>
      <c r="Q13" s="1"/>
      <c r="R13" s="1"/>
      <c r="S13" s="1"/>
      <c r="T13" s="1"/>
      <c r="U13" s="1"/>
      <c r="V13" s="1"/>
      <c r="W13" s="1"/>
      <c r="X13" s="1"/>
      <c r="Y13" s="1"/>
      <c r="Z13" s="1"/>
      <c r="AA13" s="1"/>
      <c r="AB13" s="1"/>
      <c r="AC13" s="1"/>
    </row>
    <row r="14">
      <c r="A14" s="8"/>
      <c r="B14" s="15"/>
      <c r="C14" s="6"/>
      <c r="D14" s="7"/>
      <c r="E14" s="19"/>
      <c r="F14" s="6"/>
      <c r="G14" s="1"/>
      <c r="H14" s="1"/>
      <c r="I14" s="1"/>
      <c r="J14" s="1"/>
      <c r="K14" s="1"/>
      <c r="L14" s="1"/>
      <c r="M14" s="1"/>
      <c r="N14" s="1"/>
      <c r="O14" s="1"/>
      <c r="P14" s="1"/>
      <c r="Q14" s="1"/>
      <c r="R14" s="1"/>
      <c r="S14" s="1"/>
      <c r="T14" s="1"/>
      <c r="U14" s="1"/>
      <c r="V14" s="1"/>
      <c r="W14" s="1"/>
      <c r="X14" s="1"/>
      <c r="Y14" s="1"/>
      <c r="Z14" s="1"/>
      <c r="AA14" s="1"/>
      <c r="AB14" s="1"/>
      <c r="AC14" s="1"/>
    </row>
    <row r="15">
      <c r="A15" s="20" t="s">
        <v>9</v>
      </c>
      <c r="B15" s="20"/>
      <c r="C15" s="7"/>
      <c r="D15" s="7"/>
      <c r="E15" s="19"/>
      <c r="F15" s="6"/>
      <c r="G15" s="7"/>
      <c r="H15" s="21"/>
      <c r="I15" s="1"/>
      <c r="J15" s="1"/>
      <c r="K15" s="1"/>
      <c r="L15" s="1"/>
      <c r="M15" s="1"/>
      <c r="N15" s="1"/>
      <c r="O15" s="1"/>
      <c r="P15" s="1"/>
      <c r="Q15" s="1"/>
      <c r="R15" s="1"/>
      <c r="S15" s="1"/>
      <c r="T15" s="1"/>
      <c r="U15" s="1"/>
      <c r="V15" s="1"/>
      <c r="W15" s="1"/>
      <c r="X15" s="1"/>
      <c r="Y15" s="1"/>
      <c r="Z15" s="1"/>
      <c r="AA15" s="1"/>
      <c r="AB15" s="1"/>
      <c r="AC15" s="1"/>
    </row>
    <row r="16">
      <c r="A16" s="7"/>
      <c r="B16" s="7"/>
      <c r="C16" s="7"/>
      <c r="D16" s="7"/>
      <c r="E16" s="8"/>
      <c r="F16" s="6"/>
      <c r="G16" s="1"/>
      <c r="H16" s="1"/>
      <c r="I16" s="1"/>
      <c r="J16" s="1"/>
      <c r="K16" s="1"/>
      <c r="L16" s="1"/>
      <c r="M16" s="1"/>
      <c r="N16" s="1"/>
      <c r="O16" s="1"/>
      <c r="P16" s="1"/>
      <c r="Q16" s="1"/>
      <c r="R16" s="1"/>
      <c r="S16" s="1"/>
      <c r="T16" s="1"/>
      <c r="U16" s="1"/>
      <c r="V16" s="1"/>
      <c r="W16" s="1"/>
      <c r="X16" s="1"/>
      <c r="Y16" s="1"/>
      <c r="Z16" s="1"/>
      <c r="AA16" s="1"/>
      <c r="AB16" s="1"/>
      <c r="AC16" s="1"/>
    </row>
    <row r="17">
      <c r="A17" s="8"/>
      <c r="B17" s="15"/>
      <c r="C17" s="15"/>
      <c r="D17" s="15"/>
      <c r="E17" s="15"/>
      <c r="F17" s="15"/>
      <c r="G17" s="15"/>
      <c r="H17" s="15"/>
      <c r="I17" s="15"/>
      <c r="J17" s="6"/>
      <c r="K17" s="1"/>
      <c r="L17" s="1"/>
      <c r="M17" s="1"/>
      <c r="N17" s="1"/>
      <c r="O17" s="1"/>
      <c r="P17" s="1"/>
      <c r="Q17" s="1"/>
      <c r="R17" s="1"/>
      <c r="S17" s="1"/>
      <c r="T17" s="1"/>
      <c r="U17" s="1"/>
      <c r="V17" s="1"/>
      <c r="W17" s="1"/>
      <c r="X17" s="1"/>
      <c r="Y17" s="1"/>
      <c r="Z17" s="1"/>
      <c r="AA17" s="1"/>
      <c r="AB17" s="1"/>
      <c r="AC17" s="1"/>
    </row>
    <row r="18">
      <c r="A18" s="7"/>
      <c r="B18" s="7"/>
      <c r="C18" s="7"/>
      <c r="D18" s="7"/>
      <c r="E18" s="7"/>
      <c r="F18" s="7"/>
      <c r="G18" s="1"/>
      <c r="H18" s="1"/>
      <c r="I18" s="1"/>
      <c r="J18" s="1"/>
      <c r="K18" s="1"/>
      <c r="L18" s="1"/>
      <c r="M18" s="1"/>
      <c r="N18" s="1"/>
      <c r="O18" s="1"/>
      <c r="P18" s="1"/>
      <c r="Q18" s="1"/>
      <c r="R18" s="1"/>
      <c r="S18" s="1"/>
      <c r="T18" s="1"/>
      <c r="U18" s="1"/>
      <c r="V18" s="1"/>
      <c r="W18" s="1"/>
      <c r="X18" s="1"/>
      <c r="Y18" s="1"/>
      <c r="Z18" s="1"/>
      <c r="AA18" s="1"/>
      <c r="AB18" s="1"/>
      <c r="AC18" s="1"/>
    </row>
    <row r="19">
      <c r="A19" s="7"/>
      <c r="B19" s="7"/>
      <c r="C19" s="7"/>
      <c r="D19" s="7"/>
      <c r="E19" s="7"/>
      <c r="F19" s="7"/>
      <c r="G19" s="1"/>
      <c r="H19" s="1"/>
      <c r="I19" s="1"/>
      <c r="J19" s="1"/>
      <c r="K19" s="1"/>
      <c r="L19" s="1"/>
      <c r="M19" s="1"/>
      <c r="N19" s="1"/>
      <c r="O19" s="1"/>
      <c r="P19" s="1"/>
      <c r="Q19" s="1"/>
      <c r="R19" s="1"/>
      <c r="S19" s="1"/>
      <c r="T19" s="1"/>
      <c r="U19" s="1"/>
      <c r="V19" s="1"/>
      <c r="W19" s="1"/>
      <c r="X19" s="1"/>
      <c r="Y19" s="1"/>
      <c r="Z19" s="1"/>
      <c r="AA19" s="1"/>
      <c r="AB19" s="1"/>
      <c r="AC19" s="1"/>
    </row>
    <row r="20">
      <c r="A20" s="7"/>
      <c r="B20" s="7"/>
      <c r="C20" s="7"/>
      <c r="D20" s="7"/>
      <c r="E20" s="7"/>
      <c r="F20" s="7"/>
      <c r="G20" s="1"/>
      <c r="H20" s="1"/>
      <c r="I20" s="1"/>
      <c r="J20" s="1"/>
      <c r="K20" s="1"/>
      <c r="L20" s="1"/>
      <c r="M20" s="1"/>
      <c r="N20" s="1"/>
      <c r="O20" s="1"/>
      <c r="P20" s="1"/>
      <c r="Q20" s="1"/>
      <c r="R20" s="1"/>
      <c r="S20" s="1"/>
      <c r="T20" s="1"/>
      <c r="U20" s="1"/>
      <c r="V20" s="1"/>
      <c r="W20" s="1"/>
      <c r="X20" s="1"/>
      <c r="Y20" s="1"/>
      <c r="Z20" s="1"/>
      <c r="AA20" s="1"/>
      <c r="AB20" s="1"/>
      <c r="AC20" s="1"/>
    </row>
    <row r="21">
      <c r="A21" s="7"/>
      <c r="B21" s="7"/>
      <c r="C21" s="7"/>
      <c r="D21" s="7"/>
      <c r="E21" s="7"/>
      <c r="F21" s="7"/>
      <c r="G21" s="1"/>
      <c r="H21" s="1"/>
      <c r="I21" s="1"/>
      <c r="J21" s="1"/>
      <c r="K21" s="1"/>
      <c r="L21" s="1"/>
      <c r="M21" s="1"/>
      <c r="N21" s="1"/>
      <c r="O21" s="1"/>
      <c r="P21" s="1"/>
      <c r="Q21" s="1"/>
      <c r="R21" s="1"/>
      <c r="S21" s="1"/>
      <c r="T21" s="1"/>
      <c r="U21" s="1"/>
      <c r="V21" s="1"/>
      <c r="W21" s="1"/>
      <c r="X21" s="1"/>
      <c r="Y21" s="1"/>
      <c r="Z21" s="1"/>
      <c r="AA21" s="1"/>
      <c r="AB21" s="1"/>
      <c r="AC21" s="1"/>
    </row>
    <row r="22">
      <c r="A22" s="22"/>
      <c r="B22" s="22"/>
      <c r="C22" s="22"/>
      <c r="D22" s="22"/>
      <c r="E22" s="22"/>
      <c r="F22" s="22"/>
      <c r="G22" s="23"/>
      <c r="H22" s="23"/>
      <c r="I22" s="23"/>
      <c r="J22" s="23"/>
      <c r="K22" s="1"/>
      <c r="L22" s="1"/>
      <c r="M22" s="1"/>
      <c r="N22" s="1"/>
      <c r="O22" s="1"/>
      <c r="P22" s="1"/>
      <c r="Q22" s="1"/>
      <c r="R22" s="1"/>
      <c r="S22" s="1"/>
      <c r="T22" s="1"/>
      <c r="U22" s="1"/>
      <c r="V22" s="1"/>
      <c r="W22" s="1"/>
      <c r="X22" s="1"/>
      <c r="Y22" s="1"/>
      <c r="Z22" s="1"/>
      <c r="AA22" s="1"/>
      <c r="AB22" s="1"/>
      <c r="AC22" s="1"/>
    </row>
    <row r="23">
      <c r="A23" s="24" t="s">
        <v>10</v>
      </c>
      <c r="B23" s="25"/>
      <c r="C23" s="25"/>
      <c r="D23" s="25"/>
      <c r="E23" s="25"/>
      <c r="F23" s="25"/>
      <c r="G23" s="26"/>
      <c r="H23" s="26"/>
      <c r="I23" s="26"/>
      <c r="J23" s="27"/>
      <c r="K23" s="28"/>
      <c r="L23" s="1"/>
      <c r="M23" s="1"/>
      <c r="N23" s="1"/>
      <c r="O23" s="1"/>
      <c r="P23" s="1"/>
      <c r="Q23" s="1"/>
      <c r="R23" s="1"/>
      <c r="S23" s="1"/>
      <c r="T23" s="1"/>
      <c r="U23" s="1"/>
      <c r="V23" s="1"/>
      <c r="W23" s="1"/>
      <c r="X23" s="1"/>
      <c r="Y23" s="1"/>
      <c r="Z23" s="1"/>
      <c r="AA23" s="1"/>
      <c r="AB23" s="1"/>
      <c r="AC23" s="1"/>
    </row>
    <row r="24">
      <c r="A24" s="29"/>
      <c r="B24" s="30" t="s">
        <v>11</v>
      </c>
      <c r="C24" s="31"/>
      <c r="D24" s="30" t="s">
        <v>12</v>
      </c>
      <c r="E24" s="30"/>
      <c r="F24" s="30"/>
      <c r="G24" s="32"/>
      <c r="H24" s="32"/>
      <c r="I24" s="32"/>
      <c r="J24" s="33"/>
      <c r="K24" s="28"/>
      <c r="L24" s="1"/>
      <c r="M24" s="1"/>
      <c r="N24" s="1"/>
      <c r="O24" s="1"/>
      <c r="P24" s="1"/>
      <c r="Q24" s="1"/>
      <c r="R24" s="1"/>
      <c r="S24" s="1"/>
      <c r="T24" s="1"/>
      <c r="U24" s="1"/>
      <c r="V24" s="1"/>
      <c r="W24" s="1"/>
      <c r="X24" s="1"/>
      <c r="Y24" s="1"/>
      <c r="Z24" s="1"/>
      <c r="AA24" s="1"/>
      <c r="AB24" s="1"/>
      <c r="AC24" s="1"/>
    </row>
    <row r="25">
      <c r="A25" s="34"/>
      <c r="B25" s="10"/>
      <c r="C25" s="11"/>
      <c r="D25" s="35"/>
      <c r="E25" s="36"/>
      <c r="F25" s="11"/>
      <c r="G25" s="35"/>
      <c r="H25" s="21"/>
      <c r="I25" s="37"/>
      <c r="J25" s="37"/>
      <c r="K25" s="1"/>
      <c r="L25" s="1"/>
      <c r="M25" s="1"/>
      <c r="N25" s="1"/>
      <c r="O25" s="1"/>
      <c r="P25" s="1"/>
      <c r="Q25" s="1"/>
      <c r="R25" s="1"/>
      <c r="S25" s="1"/>
      <c r="T25" s="1"/>
      <c r="U25" s="1"/>
      <c r="V25" s="1"/>
      <c r="W25" s="1"/>
      <c r="X25" s="1"/>
      <c r="Y25" s="1"/>
      <c r="Z25" s="1"/>
      <c r="AA25" s="1"/>
      <c r="AB25" s="1"/>
      <c r="AC25" s="1"/>
    </row>
    <row r="26">
      <c r="A26" s="14" t="s">
        <v>13</v>
      </c>
      <c r="B26" s="15"/>
      <c r="C26" s="6"/>
      <c r="D26" s="17"/>
      <c r="E26" s="38">
        <v>3.0</v>
      </c>
      <c r="F26" s="6"/>
      <c r="G26" s="1"/>
      <c r="H26" s="1"/>
      <c r="I26" s="1"/>
      <c r="J26" s="1"/>
      <c r="K26" s="1"/>
      <c r="L26" s="1"/>
      <c r="M26" s="1"/>
      <c r="N26" s="1"/>
      <c r="O26" s="1"/>
      <c r="P26" s="1"/>
      <c r="Q26" s="1"/>
      <c r="R26" s="1"/>
      <c r="S26" s="1"/>
      <c r="T26" s="1"/>
      <c r="U26" s="1"/>
      <c r="V26" s="1"/>
      <c r="W26" s="1"/>
      <c r="X26" s="1"/>
      <c r="Y26" s="1"/>
      <c r="Z26" s="1"/>
      <c r="AA26" s="1"/>
      <c r="AB26" s="1"/>
      <c r="AC26" s="1"/>
    </row>
    <row r="27">
      <c r="A27" s="7" t="s">
        <v>14</v>
      </c>
      <c r="B27" s="7"/>
      <c r="C27" s="7"/>
      <c r="D27" s="7" t="s">
        <v>15</v>
      </c>
      <c r="E27" s="8">
        <v>9.8</v>
      </c>
      <c r="F27" s="6"/>
      <c r="G27" s="7" t="s">
        <v>16</v>
      </c>
      <c r="H27" s="1"/>
      <c r="I27" s="1"/>
      <c r="J27" s="1"/>
      <c r="K27" s="1"/>
      <c r="L27" s="1"/>
      <c r="M27" s="1"/>
      <c r="N27" s="1"/>
      <c r="O27" s="1"/>
      <c r="P27" s="1"/>
      <c r="Q27" s="1"/>
      <c r="R27" s="1"/>
      <c r="S27" s="1"/>
      <c r="T27" s="1"/>
      <c r="U27" s="1"/>
      <c r="V27" s="1"/>
      <c r="W27" s="1"/>
      <c r="X27" s="1"/>
      <c r="Y27" s="1"/>
      <c r="Z27" s="1"/>
      <c r="AA27" s="1"/>
      <c r="AB27" s="1"/>
      <c r="AC27" s="1"/>
    </row>
    <row r="28">
      <c r="A28" s="39"/>
      <c r="B28" s="7"/>
      <c r="C28" s="7"/>
      <c r="D28" s="7"/>
      <c r="E28" s="7"/>
      <c r="F28" s="7"/>
      <c r="G28" s="7"/>
      <c r="H28" s="1"/>
      <c r="I28" s="1"/>
      <c r="J28" s="1"/>
      <c r="K28" s="1"/>
      <c r="L28" s="1"/>
      <c r="M28" s="1"/>
      <c r="N28" s="1"/>
      <c r="O28" s="1"/>
      <c r="P28" s="1"/>
      <c r="Q28" s="1"/>
      <c r="R28" s="1"/>
      <c r="S28" s="1"/>
      <c r="T28" s="1"/>
      <c r="U28" s="1"/>
      <c r="V28" s="1"/>
      <c r="W28" s="1"/>
      <c r="X28" s="1"/>
      <c r="Y28" s="1"/>
      <c r="Z28" s="1"/>
      <c r="AA28" s="1"/>
      <c r="AB28" s="1"/>
      <c r="AC28" s="1"/>
    </row>
    <row r="29">
      <c r="A29" s="20" t="s">
        <v>17</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39"/>
      <c r="B30" s="7"/>
      <c r="C30" s="7"/>
      <c r="D30" s="7"/>
      <c r="E30" s="7"/>
      <c r="F30" s="1"/>
      <c r="G30" s="1"/>
      <c r="H30" s="1"/>
      <c r="I30" s="1"/>
      <c r="J30" s="1"/>
      <c r="K30" s="1"/>
      <c r="L30" s="1"/>
      <c r="M30" s="1"/>
      <c r="N30" s="1"/>
      <c r="O30" s="1"/>
      <c r="P30" s="1"/>
      <c r="Q30" s="1"/>
      <c r="R30" s="1"/>
      <c r="S30" s="1"/>
      <c r="T30" s="1"/>
      <c r="U30" s="1"/>
      <c r="V30" s="1"/>
      <c r="W30" s="1"/>
      <c r="X30" s="1"/>
      <c r="Y30" s="1"/>
      <c r="Z30" s="1"/>
      <c r="AA30" s="1"/>
      <c r="AB30" s="1"/>
      <c r="AC30" s="1"/>
    </row>
    <row r="31">
      <c r="A31" s="40">
        <v>1.0</v>
      </c>
      <c r="B31" s="14" t="s">
        <v>92</v>
      </c>
      <c r="C31" s="6"/>
      <c r="D31" s="7">
        <v>33.0</v>
      </c>
      <c r="E31" s="7" t="s">
        <v>19</v>
      </c>
      <c r="F31" s="7" t="s">
        <v>20</v>
      </c>
      <c r="G31" s="1">
        <f t="shared" ref="G31:G34" si="1">D31/1000</f>
        <v>0.033</v>
      </c>
      <c r="H31" s="7" t="s">
        <v>21</v>
      </c>
      <c r="I31" s="1"/>
      <c r="J31" s="1"/>
      <c r="K31" s="1"/>
      <c r="L31" s="1"/>
      <c r="M31" s="1"/>
      <c r="N31" s="1"/>
      <c r="O31" s="1"/>
      <c r="P31" s="1"/>
      <c r="Q31" s="1"/>
      <c r="R31" s="1"/>
      <c r="S31" s="1"/>
      <c r="T31" s="1"/>
      <c r="U31" s="1"/>
      <c r="V31" s="1"/>
      <c r="W31" s="1"/>
      <c r="X31" s="1"/>
      <c r="Y31" s="1"/>
      <c r="Z31" s="1"/>
      <c r="AA31" s="1"/>
      <c r="AB31" s="1"/>
      <c r="AC31" s="1"/>
    </row>
    <row r="32">
      <c r="A32" s="40">
        <v>2.0</v>
      </c>
      <c r="B32" s="14" t="s">
        <v>93</v>
      </c>
      <c r="C32" s="6"/>
      <c r="D32" s="7">
        <v>28.0</v>
      </c>
      <c r="E32" s="7" t="s">
        <v>19</v>
      </c>
      <c r="F32" s="7" t="s">
        <v>20</v>
      </c>
      <c r="G32" s="1">
        <f t="shared" si="1"/>
        <v>0.028</v>
      </c>
      <c r="H32" s="7" t="s">
        <v>21</v>
      </c>
      <c r="I32" s="1"/>
      <c r="J32" s="1"/>
      <c r="K32" s="1"/>
      <c r="L32" s="1"/>
      <c r="M32" s="1"/>
      <c r="N32" s="1"/>
      <c r="O32" s="1"/>
      <c r="P32" s="1"/>
      <c r="Q32" s="1"/>
      <c r="R32" s="1"/>
      <c r="S32" s="1"/>
      <c r="T32" s="1"/>
      <c r="U32" s="1"/>
      <c r="V32" s="1"/>
      <c r="W32" s="1"/>
      <c r="X32" s="1"/>
      <c r="Y32" s="1"/>
      <c r="Z32" s="1"/>
      <c r="AA32" s="1"/>
      <c r="AB32" s="1"/>
      <c r="AC32" s="1"/>
    </row>
    <row r="33">
      <c r="A33" s="40">
        <v>3.0</v>
      </c>
      <c r="B33" s="14" t="s">
        <v>94</v>
      </c>
      <c r="C33" s="6"/>
      <c r="D33" s="7">
        <v>400.0</v>
      </c>
      <c r="E33" s="7" t="s">
        <v>19</v>
      </c>
      <c r="F33" s="7" t="s">
        <v>20</v>
      </c>
      <c r="G33" s="1">
        <f t="shared" si="1"/>
        <v>0.4</v>
      </c>
      <c r="H33" s="7" t="s">
        <v>21</v>
      </c>
      <c r="I33" s="1"/>
      <c r="J33" s="1"/>
      <c r="K33" s="1"/>
      <c r="L33" s="1"/>
      <c r="M33" s="1"/>
      <c r="N33" s="1"/>
      <c r="O33" s="1"/>
      <c r="P33" s="1"/>
      <c r="Q33" s="1"/>
      <c r="R33" s="1"/>
      <c r="S33" s="1"/>
      <c r="T33" s="1"/>
      <c r="U33" s="1"/>
      <c r="V33" s="1"/>
      <c r="W33" s="1"/>
      <c r="X33" s="1"/>
      <c r="Y33" s="1"/>
      <c r="Z33" s="1"/>
      <c r="AA33" s="1"/>
      <c r="AB33" s="1"/>
      <c r="AC33" s="1"/>
    </row>
    <row r="34">
      <c r="A34" s="7">
        <v>4.0</v>
      </c>
      <c r="B34" s="39" t="s">
        <v>95</v>
      </c>
      <c r="C34" s="23"/>
      <c r="D34" s="22">
        <v>14.0</v>
      </c>
      <c r="E34" s="7" t="s">
        <v>19</v>
      </c>
      <c r="F34" s="7" t="s">
        <v>20</v>
      </c>
      <c r="G34" s="1">
        <f t="shared" si="1"/>
        <v>0.014</v>
      </c>
      <c r="H34" s="7" t="s">
        <v>21</v>
      </c>
      <c r="I34" s="23"/>
      <c r="J34" s="23"/>
      <c r="K34" s="23"/>
      <c r="L34" s="23"/>
      <c r="M34" s="23"/>
      <c r="N34" s="23"/>
      <c r="O34" s="23"/>
      <c r="P34" s="23"/>
      <c r="Q34" s="23"/>
      <c r="R34" s="1"/>
      <c r="S34" s="1"/>
      <c r="T34" s="1"/>
      <c r="U34" s="1"/>
      <c r="V34" s="1"/>
      <c r="W34" s="1"/>
      <c r="X34" s="1"/>
      <c r="Y34" s="1"/>
      <c r="Z34" s="1"/>
      <c r="AA34" s="1"/>
      <c r="AB34" s="1"/>
      <c r="AC34" s="1"/>
    </row>
    <row r="35">
      <c r="A35" s="1"/>
      <c r="B35" s="23"/>
      <c r="C35" s="23"/>
      <c r="D35" s="23"/>
      <c r="E35" s="23"/>
      <c r="F35" s="23"/>
      <c r="G35" s="23"/>
      <c r="H35" s="23"/>
      <c r="I35" s="23"/>
      <c r="J35" s="23"/>
      <c r="K35" s="23"/>
      <c r="L35" s="23"/>
      <c r="M35" s="23"/>
      <c r="N35" s="23"/>
      <c r="O35" s="23"/>
      <c r="P35" s="23"/>
      <c r="Q35" s="23"/>
      <c r="R35" s="1"/>
      <c r="S35" s="1"/>
      <c r="T35" s="1"/>
      <c r="U35" s="1"/>
      <c r="V35" s="1"/>
      <c r="W35" s="1"/>
      <c r="X35" s="1"/>
      <c r="Y35" s="1"/>
      <c r="Z35" s="1"/>
      <c r="AA35" s="1"/>
      <c r="AB35" s="1"/>
      <c r="AC35" s="1"/>
    </row>
    <row r="36">
      <c r="A36" s="41"/>
      <c r="B36" s="97" t="s">
        <v>25</v>
      </c>
      <c r="C36" s="98" t="s">
        <v>96</v>
      </c>
      <c r="D36" s="99"/>
      <c r="E36" s="98" t="s">
        <v>97</v>
      </c>
      <c r="F36" s="99"/>
      <c r="G36" s="57" t="s">
        <v>26</v>
      </c>
      <c r="H36" s="44"/>
      <c r="I36" s="44"/>
      <c r="J36" s="44"/>
      <c r="K36" s="44"/>
      <c r="L36" s="44"/>
      <c r="M36" s="98" t="s">
        <v>98</v>
      </c>
      <c r="N36" s="100"/>
      <c r="O36" s="99"/>
      <c r="P36" s="89"/>
      <c r="Q36" s="58" t="s">
        <v>99</v>
      </c>
      <c r="R36" s="58" t="s">
        <v>100</v>
      </c>
      <c r="S36" s="58" t="s">
        <v>101</v>
      </c>
      <c r="T36" s="1"/>
      <c r="U36" s="1"/>
      <c r="W36" s="1"/>
      <c r="X36" s="1"/>
      <c r="Y36" s="1"/>
      <c r="Z36" s="1"/>
      <c r="AA36" s="1"/>
      <c r="AB36" s="1"/>
      <c r="AC36" s="1"/>
    </row>
    <row r="37">
      <c r="A37" s="41"/>
      <c r="B37" s="48"/>
      <c r="C37" s="101"/>
      <c r="D37" s="102"/>
      <c r="E37" s="101"/>
      <c r="F37" s="102"/>
      <c r="G37" s="103" t="s">
        <v>33</v>
      </c>
      <c r="H37" s="103" t="s">
        <v>34</v>
      </c>
      <c r="I37" s="103" t="s">
        <v>35</v>
      </c>
      <c r="J37" s="103" t="s">
        <v>36</v>
      </c>
      <c r="K37" s="103" t="s">
        <v>37</v>
      </c>
      <c r="L37" s="103" t="s">
        <v>38</v>
      </c>
      <c r="M37" s="104" t="s">
        <v>102</v>
      </c>
      <c r="N37" s="105" t="s">
        <v>103</v>
      </c>
      <c r="O37" s="106" t="s">
        <v>104</v>
      </c>
      <c r="P37" s="89"/>
      <c r="T37" s="59" t="s">
        <v>48</v>
      </c>
      <c r="U37" s="7" t="s">
        <v>48</v>
      </c>
      <c r="W37" s="1"/>
      <c r="X37" s="1"/>
      <c r="Y37" s="1"/>
      <c r="Z37" s="1"/>
      <c r="AA37" s="1"/>
      <c r="AB37" s="1"/>
      <c r="AC37" s="1"/>
    </row>
    <row r="38">
      <c r="A38" s="41"/>
      <c r="B38" s="49">
        <v>1.0</v>
      </c>
      <c r="C38" s="60">
        <v>0.0</v>
      </c>
      <c r="D38" s="45"/>
      <c r="E38" s="60">
        <v>0.0</v>
      </c>
      <c r="F38" s="45"/>
      <c r="G38" s="50">
        <v>0.0</v>
      </c>
      <c r="H38" s="50">
        <v>0.0</v>
      </c>
      <c r="I38" s="50">
        <v>0.0</v>
      </c>
      <c r="J38" s="50">
        <v>0.0</v>
      </c>
      <c r="K38" s="50">
        <v>0.0</v>
      </c>
      <c r="L38" s="50">
        <v>0.0</v>
      </c>
      <c r="M38" s="60">
        <v>10.0</v>
      </c>
      <c r="N38" s="107">
        <v>30.0</v>
      </c>
      <c r="O38" s="108">
        <f t="shared" ref="O38:O42" si="2">if(P38&gt;0,P38/1000,-(P38/1000))</f>
        <v>0.02</v>
      </c>
      <c r="P38" s="109">
        <f t="shared" ref="P38:P42" si="3">N38-M38</f>
        <v>20</v>
      </c>
      <c r="Q38" s="61">
        <v>0.1</v>
      </c>
      <c r="R38" s="61"/>
      <c r="S38" s="61"/>
      <c r="T38" s="62" t="str">
        <f t="shared" ref="T38:T42" si="4">IFS((10^4)&lt;#REF!&lt;(10^8),(0.56*(#REF!^0.25)),#REF!&gt;(10^8),(0.13*(#REF!^(1/3))),#REF!&lt;(10^4),0)</f>
        <v>#REF!</v>
      </c>
      <c r="U38" s="1" t="str">
        <f t="shared" ref="U38:U42" si="5">IFS((10^4)&lt;#REF!&lt;(10^8),(0.56*(#REF!^0.25)),#REF!&gt;(10^8),(0.13*(#REF!^(1/3))),#REF!&lt;(10^4),$B$82)</f>
        <v>#REF!</v>
      </c>
      <c r="W38" s="1"/>
      <c r="X38" s="1"/>
      <c r="Y38" s="1"/>
      <c r="Z38" s="1"/>
      <c r="AA38" s="1"/>
      <c r="AB38" s="1"/>
      <c r="AC38" s="1"/>
    </row>
    <row r="39">
      <c r="A39" s="41"/>
      <c r="B39" s="49">
        <v>2.0</v>
      </c>
      <c r="C39" s="60">
        <v>0.0</v>
      </c>
      <c r="D39" s="45"/>
      <c r="E39" s="60">
        <v>0.0</v>
      </c>
      <c r="F39" s="45"/>
      <c r="G39" s="50">
        <v>0.0</v>
      </c>
      <c r="H39" s="50">
        <v>0.0</v>
      </c>
      <c r="I39" s="50">
        <v>0.0</v>
      </c>
      <c r="J39" s="50">
        <v>0.0</v>
      </c>
      <c r="K39" s="50">
        <v>0.0</v>
      </c>
      <c r="L39" s="50">
        <v>0.0</v>
      </c>
      <c r="M39" s="60">
        <v>15.0</v>
      </c>
      <c r="N39" s="107">
        <v>25.0</v>
      </c>
      <c r="O39" s="108">
        <f t="shared" si="2"/>
        <v>0.01</v>
      </c>
      <c r="P39" s="109">
        <f t="shared" si="3"/>
        <v>10</v>
      </c>
      <c r="Q39" s="61">
        <v>0.1</v>
      </c>
      <c r="R39" s="61"/>
      <c r="S39" s="61"/>
      <c r="T39" s="62" t="str">
        <f t="shared" si="4"/>
        <v>#REF!</v>
      </c>
      <c r="U39" s="1" t="str">
        <f t="shared" si="5"/>
        <v>#REF!</v>
      </c>
      <c r="W39" s="1"/>
      <c r="X39" s="1"/>
      <c r="Y39" s="1"/>
      <c r="Z39" s="1"/>
      <c r="AA39" s="1"/>
      <c r="AB39" s="1"/>
      <c r="AC39" s="1"/>
    </row>
    <row r="40">
      <c r="A40" s="41"/>
      <c r="B40" s="49">
        <v>3.0</v>
      </c>
      <c r="C40" s="60">
        <v>0.0</v>
      </c>
      <c r="D40" s="45"/>
      <c r="E40" s="60">
        <v>0.0</v>
      </c>
      <c r="F40" s="45"/>
      <c r="G40" s="50">
        <v>0.0</v>
      </c>
      <c r="H40" s="50">
        <v>0.0</v>
      </c>
      <c r="I40" s="50">
        <v>0.0</v>
      </c>
      <c r="J40" s="50">
        <v>0.0</v>
      </c>
      <c r="K40" s="50">
        <v>0.0</v>
      </c>
      <c r="L40" s="50">
        <v>0.0</v>
      </c>
      <c r="M40" s="60">
        <v>22.0</v>
      </c>
      <c r="N40" s="107">
        <v>17.0</v>
      </c>
      <c r="O40" s="108">
        <f t="shared" si="2"/>
        <v>0.005</v>
      </c>
      <c r="P40" s="109">
        <f t="shared" si="3"/>
        <v>-5</v>
      </c>
      <c r="Q40" s="61">
        <v>0.1</v>
      </c>
      <c r="R40" s="61"/>
      <c r="S40" s="61"/>
      <c r="T40" s="62" t="str">
        <f t="shared" si="4"/>
        <v>#REF!</v>
      </c>
      <c r="U40" s="1" t="str">
        <f t="shared" si="5"/>
        <v>#REF!</v>
      </c>
      <c r="W40" s="1"/>
      <c r="X40" s="1"/>
      <c r="Y40" s="1"/>
      <c r="Z40" s="1"/>
      <c r="AA40" s="1"/>
      <c r="AB40" s="1"/>
      <c r="AC40" s="1"/>
    </row>
    <row r="41">
      <c r="A41" s="41"/>
      <c r="B41" s="49">
        <v>4.0</v>
      </c>
      <c r="C41" s="60"/>
      <c r="D41" s="45"/>
      <c r="E41" s="60"/>
      <c r="F41" s="45"/>
      <c r="G41" s="50">
        <v>0.0</v>
      </c>
      <c r="H41" s="50">
        <v>0.0</v>
      </c>
      <c r="I41" s="50">
        <v>0.0</v>
      </c>
      <c r="J41" s="50">
        <v>0.0</v>
      </c>
      <c r="K41" s="50">
        <v>0.0</v>
      </c>
      <c r="L41" s="50">
        <v>0.0</v>
      </c>
      <c r="M41" s="60">
        <v>0.0</v>
      </c>
      <c r="N41" s="107">
        <v>0.0</v>
      </c>
      <c r="O41" s="108">
        <f t="shared" si="2"/>
        <v>0</v>
      </c>
      <c r="P41" s="109">
        <f t="shared" si="3"/>
        <v>0</v>
      </c>
      <c r="Q41" s="61">
        <v>0.1</v>
      </c>
      <c r="R41" s="63"/>
      <c r="S41" s="63"/>
      <c r="T41" s="62" t="str">
        <f t="shared" si="4"/>
        <v>#REF!</v>
      </c>
      <c r="U41" s="1" t="str">
        <f t="shared" si="5"/>
        <v>#REF!</v>
      </c>
      <c r="W41" s="1"/>
      <c r="X41" s="1"/>
      <c r="Y41" s="1"/>
      <c r="Z41" s="1"/>
      <c r="AA41" s="1"/>
      <c r="AB41" s="1"/>
      <c r="AC41" s="1"/>
    </row>
    <row r="42">
      <c r="A42" s="41"/>
      <c r="B42" s="49">
        <v>5.0</v>
      </c>
      <c r="C42" s="60"/>
      <c r="D42" s="45"/>
      <c r="E42" s="60"/>
      <c r="F42" s="45"/>
      <c r="G42" s="50">
        <v>0.0</v>
      </c>
      <c r="H42" s="50">
        <v>0.0</v>
      </c>
      <c r="I42" s="50">
        <v>0.0</v>
      </c>
      <c r="J42" s="50">
        <v>0.0</v>
      </c>
      <c r="K42" s="50">
        <v>0.0</v>
      </c>
      <c r="L42" s="110">
        <v>0.0</v>
      </c>
      <c r="M42" s="111">
        <v>0.0</v>
      </c>
      <c r="N42" s="112">
        <v>0.0</v>
      </c>
      <c r="O42" s="108">
        <f t="shared" si="2"/>
        <v>0</v>
      </c>
      <c r="P42" s="109">
        <f t="shared" si="3"/>
        <v>0</v>
      </c>
      <c r="Q42" s="61">
        <v>0.1</v>
      </c>
      <c r="R42" s="63"/>
      <c r="S42" s="63"/>
      <c r="T42" s="62" t="str">
        <f t="shared" si="4"/>
        <v>#REF!</v>
      </c>
      <c r="U42" s="1" t="str">
        <f t="shared" si="5"/>
        <v>#REF!</v>
      </c>
      <c r="W42" s="1"/>
      <c r="X42" s="1"/>
      <c r="Y42" s="1"/>
      <c r="Z42" s="1"/>
      <c r="AA42" s="1"/>
      <c r="AB42" s="1"/>
      <c r="AC42" s="1"/>
    </row>
    <row r="43">
      <c r="A43" s="1"/>
      <c r="B43" s="37"/>
      <c r="C43" s="37"/>
      <c r="D43" s="37"/>
      <c r="E43" s="37"/>
      <c r="F43" s="37"/>
      <c r="G43" s="37"/>
      <c r="H43" s="37"/>
      <c r="I43" s="1"/>
      <c r="J43" s="1"/>
      <c r="K43" s="41"/>
      <c r="L43" s="26"/>
      <c r="M43" s="26"/>
      <c r="N43" s="26"/>
      <c r="O43" s="26"/>
      <c r="Q43" s="64" t="s">
        <v>49</v>
      </c>
      <c r="R43" s="10"/>
      <c r="S43" s="11"/>
      <c r="T43" s="1"/>
      <c r="U43" s="1"/>
      <c r="W43" s="1"/>
      <c r="X43" s="1"/>
      <c r="Y43" s="1"/>
      <c r="Z43" s="1"/>
      <c r="AA43" s="1"/>
      <c r="AB43" s="1"/>
      <c r="AC43" s="1"/>
    </row>
    <row r="44">
      <c r="A44" s="13" t="s">
        <v>50</v>
      </c>
      <c r="B44" s="1"/>
      <c r="D44" s="65" t="s">
        <v>51</v>
      </c>
      <c r="E44" s="1"/>
      <c r="F44" s="1"/>
      <c r="G44" s="1"/>
      <c r="H44" s="1"/>
      <c r="I44" s="1"/>
      <c r="J44" s="1"/>
      <c r="K44" s="1"/>
      <c r="L44" s="37"/>
      <c r="M44" s="37"/>
      <c r="N44" s="37"/>
      <c r="O44" s="37"/>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7" t="s">
        <v>105</v>
      </c>
      <c r="C46" s="1"/>
      <c r="D46" s="1"/>
      <c r="E46" s="7" t="s">
        <v>106</v>
      </c>
      <c r="F46" s="7" t="s">
        <v>107</v>
      </c>
      <c r="G46" s="1"/>
      <c r="H46" s="1"/>
      <c r="I46" s="1"/>
      <c r="J46" s="41">
        <f>(H38+I38+J38+K38)/4</f>
        <v>0</v>
      </c>
      <c r="K46" s="67" t="s">
        <v>53</v>
      </c>
      <c r="L46" s="1"/>
      <c r="M46" s="1"/>
      <c r="N46" s="1"/>
      <c r="O46" s="1"/>
      <c r="P46" s="1"/>
      <c r="Q46" s="1"/>
      <c r="R46" s="1"/>
      <c r="S46" s="1"/>
      <c r="T46" s="1"/>
      <c r="U46" s="1"/>
      <c r="V46" s="1"/>
      <c r="W46" s="1"/>
      <c r="X46" s="1"/>
      <c r="Y46" s="1"/>
      <c r="Z46" s="1"/>
      <c r="AA46" s="1"/>
      <c r="AB46" s="1"/>
      <c r="AC46" s="1"/>
    </row>
    <row r="47">
      <c r="A47" s="1"/>
      <c r="B47" s="7" t="s">
        <v>108</v>
      </c>
      <c r="C47" s="1"/>
      <c r="D47" s="1"/>
      <c r="E47" s="1"/>
      <c r="F47" s="68" t="s">
        <v>109</v>
      </c>
      <c r="G47" s="1"/>
      <c r="H47" s="1"/>
      <c r="I47" s="1"/>
      <c r="J47" s="41">
        <f>(G38+L38)/2</f>
        <v>0</v>
      </c>
      <c r="K47" s="67" t="s">
        <v>53</v>
      </c>
      <c r="L47" s="1"/>
      <c r="M47" s="1"/>
      <c r="N47" s="1"/>
      <c r="O47" s="1"/>
      <c r="P47" s="1"/>
      <c r="Q47" s="1"/>
      <c r="R47" s="1"/>
      <c r="S47" s="1"/>
      <c r="T47" s="1"/>
      <c r="U47" s="1"/>
      <c r="V47" s="1"/>
      <c r="W47" s="1"/>
      <c r="X47" s="1"/>
      <c r="Y47" s="1"/>
      <c r="Z47" s="1"/>
      <c r="AA47" s="1"/>
      <c r="AB47" s="1"/>
      <c r="AC47" s="1"/>
    </row>
    <row r="48">
      <c r="A48" s="1"/>
      <c r="B48" s="39" t="s">
        <v>99</v>
      </c>
      <c r="C48" s="1"/>
      <c r="D48" s="1"/>
      <c r="E48" s="1"/>
      <c r="F48" s="7" t="s">
        <v>110</v>
      </c>
      <c r="G48" s="1"/>
      <c r="H48" s="1"/>
      <c r="I48" s="1"/>
      <c r="J48" s="69">
        <f>Q38</f>
        <v>0.1</v>
      </c>
      <c r="K48" s="67" t="s">
        <v>111</v>
      </c>
      <c r="M48" s="70"/>
      <c r="N48" s="7"/>
      <c r="O48" s="7"/>
      <c r="P48" s="1"/>
      <c r="Q48" s="1"/>
      <c r="R48" s="1"/>
      <c r="S48" s="1"/>
      <c r="T48" s="1"/>
      <c r="U48" s="1"/>
      <c r="V48" s="1"/>
      <c r="W48" s="1"/>
      <c r="X48" s="1"/>
      <c r="Y48" s="1"/>
      <c r="Z48" s="1"/>
      <c r="AA48" s="1"/>
      <c r="AB48" s="1"/>
      <c r="AC48" s="1"/>
    </row>
    <row r="49">
      <c r="A49" s="1"/>
      <c r="B49" s="7" t="s">
        <v>100</v>
      </c>
      <c r="C49" s="1"/>
      <c r="D49" s="1"/>
      <c r="E49" s="1"/>
      <c r="F49" s="71" t="s">
        <v>112</v>
      </c>
      <c r="G49" s="23"/>
      <c r="H49" s="23"/>
      <c r="I49" s="23"/>
      <c r="J49" s="113">
        <v>1.1465</v>
      </c>
      <c r="K49" s="67" t="s">
        <v>113</v>
      </c>
      <c r="L49" s="1"/>
      <c r="M49" s="1"/>
      <c r="N49" s="1"/>
      <c r="O49" s="1"/>
      <c r="P49" s="1"/>
      <c r="Q49" s="1"/>
      <c r="R49" s="1"/>
      <c r="S49" s="1"/>
      <c r="T49" s="1"/>
      <c r="U49" s="1"/>
      <c r="V49" s="1"/>
      <c r="W49" s="1"/>
      <c r="X49" s="1"/>
      <c r="Y49" s="1"/>
      <c r="Z49" s="1"/>
      <c r="AA49" s="1"/>
      <c r="AB49" s="1"/>
      <c r="AC49" s="1"/>
    </row>
    <row r="50">
      <c r="A50" s="1"/>
      <c r="B50" s="7" t="s">
        <v>101</v>
      </c>
      <c r="C50" s="1"/>
      <c r="D50" s="1"/>
      <c r="E50" s="74"/>
      <c r="F50" s="114" t="s">
        <v>114</v>
      </c>
      <c r="G50" s="74"/>
      <c r="H50" s="74"/>
      <c r="I50" s="74"/>
      <c r="J50" s="19">
        <v>1000.0</v>
      </c>
      <c r="K50" s="67" t="s">
        <v>115</v>
      </c>
      <c r="L50" s="1"/>
      <c r="M50" s="1"/>
      <c r="N50" s="1"/>
      <c r="O50" s="1"/>
      <c r="P50" s="1"/>
      <c r="Q50" s="1"/>
      <c r="R50" s="1"/>
      <c r="S50" s="1"/>
      <c r="T50" s="1"/>
      <c r="U50" s="1"/>
      <c r="V50" s="1"/>
      <c r="W50" s="1"/>
      <c r="X50" s="1"/>
      <c r="Y50" s="1"/>
      <c r="Z50" s="1"/>
      <c r="AA50" s="1"/>
      <c r="AB50" s="1"/>
      <c r="AC50" s="1"/>
    </row>
    <row r="51">
      <c r="A51" s="1"/>
      <c r="B51" s="7" t="s">
        <v>116</v>
      </c>
      <c r="C51" s="1"/>
      <c r="D51" s="1"/>
      <c r="E51" s="1"/>
      <c r="F51" s="115" t="s">
        <v>117</v>
      </c>
      <c r="G51" s="1"/>
      <c r="H51" s="1"/>
      <c r="I51" s="1"/>
      <c r="J51" s="8">
        <v>0.65</v>
      </c>
      <c r="K51" s="67"/>
      <c r="L51" s="1"/>
      <c r="M51" s="1"/>
      <c r="N51" s="1"/>
      <c r="O51" s="1"/>
      <c r="P51" s="1"/>
      <c r="Q51" s="1"/>
      <c r="R51" s="1"/>
      <c r="S51" s="1"/>
      <c r="T51" s="1"/>
      <c r="U51" s="1"/>
      <c r="V51" s="1"/>
      <c r="W51" s="1"/>
      <c r="X51" s="1"/>
      <c r="Y51" s="1"/>
      <c r="Z51" s="1"/>
      <c r="AA51" s="1"/>
      <c r="AB51" s="1"/>
      <c r="AC51" s="1"/>
    </row>
    <row r="52">
      <c r="A52" s="1"/>
      <c r="B52" s="82" t="s">
        <v>118</v>
      </c>
      <c r="C52" s="37"/>
      <c r="D52" s="37"/>
      <c r="E52" s="37"/>
      <c r="F52" s="116" t="s">
        <v>119</v>
      </c>
      <c r="G52" s="37"/>
      <c r="H52" s="37"/>
      <c r="I52" s="37"/>
      <c r="J52" s="83">
        <f>((22/7)/4)*(G34^2)</f>
        <v>0.000154</v>
      </c>
      <c r="K52" s="67" t="s">
        <v>120</v>
      </c>
      <c r="L52" s="1"/>
      <c r="M52" s="1"/>
      <c r="N52" s="1"/>
      <c r="O52" s="1"/>
      <c r="P52" s="1"/>
      <c r="Q52" s="1"/>
      <c r="R52" s="1"/>
      <c r="S52" s="1"/>
      <c r="T52" s="1"/>
      <c r="U52" s="1"/>
      <c r="V52" s="1"/>
      <c r="W52" s="1"/>
      <c r="X52" s="1"/>
      <c r="Y52" s="1"/>
      <c r="Z52" s="1"/>
      <c r="AA52" s="1"/>
      <c r="AB52" s="1"/>
      <c r="AC52" s="1"/>
    </row>
    <row r="53">
      <c r="A53" s="1"/>
      <c r="B53" s="82" t="s">
        <v>121</v>
      </c>
      <c r="C53" s="37"/>
      <c r="D53" s="37"/>
      <c r="E53" s="37"/>
      <c r="F53" s="116" t="s">
        <v>122</v>
      </c>
      <c r="G53" s="37"/>
      <c r="H53" s="37"/>
      <c r="I53" s="37"/>
      <c r="J53" s="83">
        <f>((22/7)/4)*(G32^2)</f>
        <v>0.000616</v>
      </c>
      <c r="K53" s="67" t="s">
        <v>123</v>
      </c>
      <c r="L53" s="1"/>
      <c r="M53" s="1"/>
      <c r="N53" s="1"/>
      <c r="O53" s="1"/>
      <c r="P53" s="1"/>
      <c r="Q53" s="1"/>
      <c r="R53" s="1"/>
      <c r="S53" s="1"/>
      <c r="T53" s="1"/>
      <c r="U53" s="1"/>
      <c r="V53" s="1"/>
      <c r="W53" s="1"/>
      <c r="X53" s="1"/>
      <c r="Y53" s="1"/>
      <c r="Z53" s="1"/>
      <c r="AA53" s="1"/>
      <c r="AB53" s="1"/>
      <c r="AC53" s="1"/>
    </row>
    <row r="54">
      <c r="A54" s="1"/>
      <c r="B54" s="7" t="s">
        <v>14</v>
      </c>
      <c r="C54" s="1"/>
      <c r="D54" s="1"/>
      <c r="E54" s="1"/>
      <c r="F54" s="7" t="s">
        <v>15</v>
      </c>
      <c r="G54" s="1"/>
      <c r="H54" s="1"/>
      <c r="I54" s="1"/>
      <c r="J54" s="8">
        <v>9.8</v>
      </c>
      <c r="K54" s="67"/>
      <c r="L54" s="1"/>
      <c r="M54" s="1"/>
      <c r="N54" s="1"/>
      <c r="O54" s="1"/>
      <c r="P54" s="1"/>
      <c r="Q54" s="1"/>
      <c r="R54" s="1"/>
      <c r="S54" s="1"/>
      <c r="T54" s="1"/>
      <c r="U54" s="1"/>
      <c r="V54" s="1"/>
      <c r="W54" s="1"/>
      <c r="X54" s="1"/>
      <c r="Y54" s="1"/>
      <c r="Z54" s="1"/>
      <c r="AA54" s="1"/>
      <c r="AB54" s="1"/>
      <c r="AC54" s="1"/>
    </row>
    <row r="55">
      <c r="A55" s="1"/>
      <c r="B55" s="7" t="s">
        <v>124</v>
      </c>
      <c r="C55" s="1"/>
      <c r="D55" s="1"/>
      <c r="E55" s="1"/>
      <c r="F55" s="7" t="s">
        <v>125</v>
      </c>
      <c r="G55" s="1"/>
      <c r="H55" s="1"/>
      <c r="I55" s="1"/>
      <c r="J55" s="41">
        <f>J51*J52*(2*J54*O38*(J50/(J49-1)))^(1/2)</f>
        <v>0.00517795532</v>
      </c>
      <c r="K55" s="67" t="s">
        <v>53</v>
      </c>
      <c r="L55" s="1"/>
      <c r="M55" s="1"/>
      <c r="N55" s="1"/>
      <c r="O55" s="1"/>
      <c r="P55" s="1"/>
      <c r="Q55" s="1"/>
      <c r="R55" s="1"/>
      <c r="S55" s="1"/>
      <c r="T55" s="1"/>
      <c r="U55" s="1"/>
      <c r="V55" s="1"/>
      <c r="W55" s="1"/>
      <c r="X55" s="1"/>
      <c r="Y55" s="1"/>
      <c r="Z55" s="1"/>
      <c r="AA55" s="1"/>
      <c r="AB55" s="1"/>
      <c r="AC55" s="1"/>
    </row>
    <row r="56">
      <c r="A56" s="1"/>
      <c r="B56" s="39"/>
      <c r="C56" s="1"/>
      <c r="D56" s="1"/>
      <c r="E56" s="1"/>
      <c r="F56" s="1"/>
      <c r="G56" s="1"/>
      <c r="H56" s="1"/>
      <c r="I56" s="1"/>
      <c r="K56" s="67"/>
      <c r="L56" s="1"/>
      <c r="M56" s="1"/>
      <c r="N56" s="1"/>
      <c r="O56" s="1"/>
      <c r="P56" s="1"/>
      <c r="Q56" s="1"/>
      <c r="R56" s="1"/>
      <c r="S56" s="1"/>
      <c r="T56" s="1"/>
      <c r="U56" s="1"/>
      <c r="V56" s="1"/>
      <c r="W56" s="1"/>
      <c r="X56" s="1"/>
      <c r="Y56" s="1"/>
      <c r="Z56" s="1"/>
      <c r="AA56" s="1"/>
      <c r="AB56" s="1"/>
      <c r="AC56" s="1"/>
    </row>
    <row r="57">
      <c r="A57" s="1"/>
      <c r="B57" s="7" t="s">
        <v>126</v>
      </c>
      <c r="C57" s="84"/>
      <c r="D57" s="84"/>
      <c r="E57" s="84"/>
      <c r="F57" s="40" t="s">
        <v>127</v>
      </c>
      <c r="G57" s="1"/>
      <c r="H57" s="1"/>
      <c r="I57" s="1"/>
      <c r="J57" s="41">
        <f>J55/J53</f>
        <v>8.405771624</v>
      </c>
      <c r="K57" s="67" t="s">
        <v>128</v>
      </c>
      <c r="L57" s="1"/>
      <c r="M57" s="1"/>
      <c r="N57" s="1"/>
      <c r="O57" s="1"/>
      <c r="P57" s="1"/>
      <c r="Q57" s="1"/>
      <c r="R57" s="1"/>
      <c r="S57" s="1"/>
      <c r="T57" s="1"/>
      <c r="U57" s="1"/>
      <c r="V57" s="1"/>
      <c r="W57" s="1"/>
      <c r="X57" s="1"/>
      <c r="Y57" s="1"/>
      <c r="Z57" s="1"/>
      <c r="AA57" s="1"/>
      <c r="AB57" s="1"/>
      <c r="AC57" s="1"/>
    </row>
    <row r="58">
      <c r="A58" s="1"/>
      <c r="B58" s="85" t="s">
        <v>129</v>
      </c>
      <c r="C58" s="10"/>
      <c r="D58" s="10"/>
      <c r="E58" s="11"/>
      <c r="F58" s="40" t="s">
        <v>130</v>
      </c>
      <c r="G58" s="1"/>
      <c r="H58" s="1"/>
      <c r="I58" s="1"/>
      <c r="J58" s="41">
        <f>1/(J57+273)</f>
        <v>0.003553587385</v>
      </c>
      <c r="K58" s="67" t="s">
        <v>71</v>
      </c>
      <c r="L58" s="1"/>
      <c r="M58" s="1"/>
      <c r="N58" s="1"/>
      <c r="O58" s="1"/>
      <c r="P58" s="1"/>
      <c r="Q58" s="1"/>
      <c r="R58" s="1"/>
      <c r="S58" s="1"/>
      <c r="T58" s="1"/>
      <c r="U58" s="1"/>
      <c r="V58" s="1"/>
      <c r="W58" s="1"/>
      <c r="X58" s="1"/>
      <c r="Y58" s="1"/>
      <c r="Z58" s="1"/>
      <c r="AA58" s="1"/>
      <c r="AB58" s="1"/>
      <c r="AC58" s="1"/>
    </row>
    <row r="59">
      <c r="A59" s="1"/>
      <c r="B59" s="7"/>
      <c r="C59" s="1"/>
      <c r="D59" s="1"/>
      <c r="E59" s="1"/>
      <c r="F59" s="7"/>
      <c r="G59" s="1"/>
      <c r="H59" s="1"/>
      <c r="I59" s="1"/>
      <c r="J59" s="86"/>
      <c r="K59" s="67"/>
      <c r="L59" s="21"/>
      <c r="M59" s="1"/>
      <c r="N59" s="1"/>
      <c r="O59" s="1"/>
      <c r="P59" s="1"/>
      <c r="Q59" s="1"/>
      <c r="R59" s="1"/>
      <c r="S59" s="1"/>
      <c r="T59" s="1"/>
      <c r="U59" s="1"/>
      <c r="V59" s="1"/>
      <c r="W59" s="1"/>
      <c r="X59" s="1"/>
      <c r="Y59" s="1"/>
      <c r="Z59" s="1"/>
      <c r="AA59" s="1"/>
      <c r="AB59" s="1"/>
      <c r="AC59" s="1"/>
    </row>
    <row r="60">
      <c r="A60" s="1"/>
      <c r="B60" s="22" t="s">
        <v>131</v>
      </c>
      <c r="C60" s="23"/>
      <c r="D60" s="23"/>
      <c r="E60" s="23"/>
      <c r="F60" s="22" t="s">
        <v>132</v>
      </c>
      <c r="G60" s="23"/>
      <c r="H60" s="23"/>
      <c r="I60" s="23"/>
      <c r="J60" s="87"/>
      <c r="K60" s="67"/>
      <c r="M60" s="1"/>
      <c r="N60" s="1"/>
      <c r="O60" s="1"/>
      <c r="P60" s="1"/>
      <c r="Q60" s="1"/>
      <c r="R60" s="1"/>
      <c r="S60" s="1"/>
      <c r="T60" s="1"/>
      <c r="U60" s="1"/>
      <c r="V60" s="1"/>
      <c r="W60" s="1"/>
      <c r="X60" s="1"/>
      <c r="Y60" s="1"/>
      <c r="Z60" s="1"/>
      <c r="AA60" s="1"/>
      <c r="AB60" s="1"/>
      <c r="AC60" s="1"/>
    </row>
    <row r="61">
      <c r="A61" s="1"/>
      <c r="B61" s="7" t="s">
        <v>133</v>
      </c>
      <c r="C61" s="1"/>
      <c r="D61" s="1"/>
      <c r="E61" s="1"/>
      <c r="F61" s="7" t="s">
        <v>134</v>
      </c>
      <c r="G61" s="1"/>
      <c r="H61" s="1"/>
      <c r="I61" s="1"/>
      <c r="J61" s="41"/>
      <c r="K61" s="67" t="s">
        <v>64</v>
      </c>
      <c r="L61" s="1"/>
      <c r="M61" s="1"/>
      <c r="N61" s="1"/>
      <c r="O61" s="1"/>
      <c r="P61" s="1"/>
      <c r="Q61" s="1"/>
      <c r="R61" s="1"/>
      <c r="S61" s="1"/>
      <c r="T61" s="1"/>
      <c r="U61" s="1"/>
      <c r="V61" s="1"/>
      <c r="W61" s="1"/>
      <c r="X61" s="1"/>
      <c r="Y61" s="1"/>
      <c r="Z61" s="1"/>
      <c r="AA61" s="1"/>
      <c r="AB61" s="1"/>
      <c r="AC61" s="1"/>
    </row>
    <row r="62">
      <c r="A62" s="23"/>
      <c r="B62" s="39" t="s">
        <v>135</v>
      </c>
      <c r="C62" s="56"/>
      <c r="D62" s="56"/>
      <c r="E62" s="56"/>
      <c r="F62" s="77" t="s">
        <v>136</v>
      </c>
      <c r="G62" s="56"/>
      <c r="H62" s="56"/>
      <c r="I62" s="56"/>
      <c r="J62" s="79"/>
      <c r="K62" s="89"/>
      <c r="L62" s="1"/>
      <c r="M62" s="1"/>
      <c r="N62" s="1"/>
      <c r="O62" s="1"/>
      <c r="P62" s="1"/>
      <c r="Q62" s="1"/>
      <c r="R62" s="1"/>
      <c r="S62" s="1"/>
      <c r="T62" s="1"/>
      <c r="U62" s="1"/>
      <c r="V62" s="1"/>
      <c r="W62" s="1"/>
      <c r="X62" s="1"/>
      <c r="Y62" s="1"/>
      <c r="Z62" s="1"/>
      <c r="AA62" s="1"/>
      <c r="AB62" s="1"/>
      <c r="AC62" s="1"/>
    </row>
    <row r="63">
      <c r="A63" s="23"/>
      <c r="B63" s="39"/>
      <c r="C63" s="56"/>
      <c r="D63" s="56"/>
      <c r="E63" s="56"/>
      <c r="F63" s="77"/>
      <c r="G63" s="56"/>
      <c r="H63" s="56"/>
      <c r="I63" s="56"/>
      <c r="J63" s="79"/>
      <c r="K63" s="67"/>
      <c r="L63" s="21"/>
      <c r="M63" s="1"/>
      <c r="N63" s="1"/>
      <c r="O63" s="1"/>
      <c r="P63" s="1"/>
      <c r="Q63" s="1"/>
      <c r="R63" s="1"/>
      <c r="S63" s="1"/>
      <c r="T63" s="1"/>
      <c r="U63" s="1"/>
      <c r="V63" s="1"/>
      <c r="W63" s="1"/>
      <c r="X63" s="1"/>
      <c r="Y63" s="1"/>
      <c r="Z63" s="1"/>
      <c r="AA63" s="1"/>
      <c r="AB63" s="1"/>
      <c r="AC63" s="1"/>
    </row>
    <row r="64">
      <c r="A64" s="1"/>
      <c r="B64" s="7" t="s">
        <v>76</v>
      </c>
      <c r="C64" s="1"/>
      <c r="D64" s="1"/>
      <c r="E64" s="1"/>
      <c r="F64" s="7" t="s">
        <v>77</v>
      </c>
      <c r="G64" s="1"/>
      <c r="H64" s="1"/>
      <c r="I64" s="1"/>
      <c r="J64" s="41" t="str">
        <f>R38</f>
        <v/>
      </c>
      <c r="K64" s="67" t="s">
        <v>64</v>
      </c>
      <c r="L64" s="21" t="s">
        <v>75</v>
      </c>
      <c r="M64" s="1"/>
      <c r="N64" s="1"/>
      <c r="O64" s="1"/>
      <c r="P64" s="1"/>
      <c r="Q64" s="1"/>
      <c r="R64" s="1"/>
      <c r="S64" s="1"/>
      <c r="T64" s="1"/>
      <c r="U64" s="1"/>
      <c r="V64" s="1"/>
      <c r="W64" s="1"/>
      <c r="X64" s="1"/>
      <c r="Y64" s="1"/>
      <c r="Z64" s="1"/>
      <c r="AA64" s="1"/>
      <c r="AB64" s="1"/>
      <c r="AC64" s="1"/>
    </row>
    <row r="65">
      <c r="A65" s="1"/>
      <c r="B65" s="7" t="s">
        <v>78</v>
      </c>
      <c r="C65" s="1"/>
      <c r="D65" s="1"/>
      <c r="E65" s="1"/>
      <c r="F65" s="1"/>
      <c r="G65" s="1"/>
      <c r="H65" s="1"/>
      <c r="I65" s="1"/>
      <c r="J65" s="8">
        <f>J61*J64</f>
        <v>0</v>
      </c>
      <c r="K65" s="67" t="s">
        <v>64</v>
      </c>
      <c r="L65" s="1"/>
      <c r="M65" s="1"/>
      <c r="N65" s="1"/>
      <c r="O65" s="1"/>
      <c r="P65" s="1"/>
      <c r="Q65" s="1"/>
      <c r="R65" s="1"/>
      <c r="S65" s="1"/>
      <c r="T65" s="1"/>
      <c r="U65" s="1"/>
      <c r="V65" s="1"/>
      <c r="W65" s="1"/>
      <c r="X65" s="1"/>
      <c r="Y65" s="1"/>
      <c r="Z65" s="1"/>
      <c r="AA65" s="1"/>
      <c r="AB65" s="1"/>
      <c r="AC65" s="1"/>
    </row>
    <row r="66">
      <c r="A66" s="37"/>
      <c r="B66" s="82" t="s">
        <v>79</v>
      </c>
      <c r="C66" s="37"/>
      <c r="D66" s="37" t="str">
        <f>IFS((10^4)&lt;J65&lt;(10^8),D68,J65&gt;(10^8),D69,J65&lt;(10^4),B82)</f>
        <v>Invalid 'Ra' Value or less than 10^4</v>
      </c>
      <c r="E66" s="37"/>
      <c r="F66" s="37"/>
      <c r="G66" s="37"/>
      <c r="H66" s="37"/>
      <c r="I66" s="37"/>
      <c r="J66" s="83" t="str">
        <f>IFS((10^4)&lt;J65&lt;(10^8),(0.56*(J65^0.25)),J65&gt;(10^8),(0.13*(J65^(1/3))),J65&lt;(10^4),B82)</f>
        <v>Invalid 'Ra' Value or less than 10^4</v>
      </c>
      <c r="K66" s="67" t="s">
        <v>64</v>
      </c>
      <c r="L66" s="1"/>
      <c r="M66" s="1"/>
      <c r="N66" s="1"/>
      <c r="O66" s="1"/>
      <c r="P66" s="1"/>
      <c r="Q66" s="1"/>
      <c r="R66" s="1"/>
      <c r="S66" s="1"/>
      <c r="T66" s="1"/>
      <c r="U66" s="1"/>
      <c r="V66" s="1"/>
      <c r="W66" s="1"/>
      <c r="X66" s="1"/>
      <c r="Y66" s="1"/>
      <c r="Z66" s="1"/>
      <c r="AA66" s="1"/>
      <c r="AB66" s="1"/>
      <c r="AC66" s="1"/>
    </row>
    <row r="67">
      <c r="A67" s="37"/>
      <c r="B67" s="90"/>
      <c r="C67" s="91"/>
      <c r="D67" s="92"/>
      <c r="E67" s="37"/>
      <c r="F67" s="37"/>
      <c r="G67" s="37"/>
      <c r="H67" s="37"/>
      <c r="I67" s="37"/>
      <c r="J67" s="83"/>
      <c r="K67" s="89"/>
      <c r="L67" s="1"/>
      <c r="M67" s="1"/>
      <c r="N67" s="1"/>
      <c r="O67" s="1"/>
      <c r="P67" s="1"/>
      <c r="Q67" s="1"/>
      <c r="R67" s="1"/>
      <c r="S67" s="1"/>
      <c r="T67" s="1"/>
      <c r="U67" s="1"/>
      <c r="V67" s="1"/>
      <c r="W67" s="1"/>
      <c r="X67" s="1"/>
      <c r="Y67" s="1"/>
      <c r="Z67" s="1"/>
      <c r="AA67" s="1"/>
      <c r="AB67" s="1"/>
      <c r="AC67" s="1"/>
    </row>
    <row r="68">
      <c r="A68" s="93" t="s">
        <v>80</v>
      </c>
      <c r="B68" s="93" t="s">
        <v>81</v>
      </c>
      <c r="C68" s="94"/>
      <c r="D68" s="92" t="s">
        <v>82</v>
      </c>
      <c r="E68" s="1"/>
      <c r="F68" s="1"/>
      <c r="G68" s="1"/>
      <c r="H68" s="1"/>
      <c r="I68" s="1"/>
      <c r="J68" s="41"/>
      <c r="K68" s="89"/>
      <c r="L68" s="1"/>
      <c r="M68" s="1"/>
      <c r="N68" s="1"/>
      <c r="O68" s="1"/>
      <c r="P68" s="1"/>
      <c r="Q68" s="1"/>
      <c r="R68" s="1"/>
      <c r="S68" s="1"/>
      <c r="T68" s="1"/>
      <c r="U68" s="1"/>
      <c r="V68" s="1"/>
      <c r="W68" s="1"/>
      <c r="X68" s="1"/>
      <c r="Y68" s="1"/>
      <c r="Z68" s="1"/>
      <c r="AA68" s="1"/>
      <c r="AB68" s="1"/>
      <c r="AC68" s="1"/>
    </row>
    <row r="69">
      <c r="A69" s="1"/>
      <c r="B69" s="93" t="s">
        <v>83</v>
      </c>
      <c r="C69" s="94"/>
      <c r="D69" s="92" t="s">
        <v>84</v>
      </c>
      <c r="E69" s="1"/>
      <c r="F69" s="1"/>
      <c r="G69" s="1"/>
      <c r="H69" s="1"/>
      <c r="I69" s="1"/>
      <c r="J69" s="41"/>
      <c r="K69" s="89"/>
      <c r="L69" s="1"/>
      <c r="M69" s="1"/>
      <c r="N69" s="1"/>
      <c r="O69" s="1"/>
      <c r="P69" s="1"/>
      <c r="Q69" s="1"/>
      <c r="R69" s="1"/>
      <c r="S69" s="1"/>
      <c r="T69" s="1"/>
      <c r="U69" s="1"/>
      <c r="V69" s="1"/>
      <c r="W69" s="1"/>
      <c r="X69" s="1"/>
      <c r="Y69" s="1"/>
      <c r="Z69" s="1"/>
      <c r="AA69" s="1"/>
      <c r="AB69" s="1"/>
      <c r="AC69" s="1"/>
    </row>
    <row r="70">
      <c r="A70" s="1"/>
      <c r="B70" s="32"/>
      <c r="C70" s="32"/>
      <c r="D70" s="32"/>
      <c r="E70" s="32"/>
      <c r="F70" s="32"/>
      <c r="G70" s="32"/>
      <c r="H70" s="32"/>
      <c r="I70" s="32"/>
      <c r="J70" s="95"/>
      <c r="K70" s="89"/>
      <c r="L70" s="1"/>
      <c r="M70" s="1"/>
      <c r="N70" s="1"/>
      <c r="O70" s="1"/>
      <c r="P70" s="1"/>
      <c r="Q70" s="1"/>
      <c r="R70" s="1"/>
      <c r="S70" s="1"/>
      <c r="T70" s="1"/>
      <c r="U70" s="1"/>
      <c r="V70" s="1"/>
      <c r="W70" s="1"/>
      <c r="X70" s="1"/>
      <c r="Y70" s="1"/>
      <c r="Z70" s="1"/>
      <c r="AA70" s="1"/>
      <c r="AB70" s="1"/>
      <c r="AC70" s="1"/>
    </row>
    <row r="71">
      <c r="A71" s="1"/>
      <c r="B71" s="37"/>
      <c r="C71" s="37"/>
      <c r="D71" s="37"/>
      <c r="E71" s="37"/>
      <c r="F71" s="37"/>
      <c r="G71" s="37"/>
      <c r="H71" s="37"/>
      <c r="I71" s="37"/>
      <c r="J71" s="83"/>
      <c r="K71" s="89"/>
      <c r="L71" s="1"/>
      <c r="M71" s="1"/>
      <c r="N71" s="1"/>
      <c r="O71" s="1"/>
      <c r="P71" s="1"/>
      <c r="Q71" s="1"/>
      <c r="R71" s="1"/>
      <c r="S71" s="1"/>
      <c r="T71" s="1"/>
      <c r="U71" s="1"/>
      <c r="V71" s="1"/>
      <c r="W71" s="1"/>
      <c r="X71" s="1"/>
      <c r="Y71" s="1"/>
      <c r="Z71" s="1"/>
      <c r="AA71" s="1"/>
      <c r="AB71" s="1"/>
      <c r="AC71" s="1"/>
    </row>
    <row r="72">
      <c r="A72" s="1"/>
      <c r="B72" s="1"/>
      <c r="C72" s="1"/>
      <c r="D72" s="1"/>
      <c r="E72" s="1"/>
      <c r="F72" s="7" t="s">
        <v>85</v>
      </c>
      <c r="G72" s="1"/>
      <c r="H72" s="1"/>
      <c r="I72" s="1"/>
      <c r="J72" s="41" t="str">
        <f>#REF!</f>
        <v>#REF!</v>
      </c>
      <c r="K72" s="67" t="s">
        <v>61</v>
      </c>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41"/>
      <c r="K73" s="89"/>
      <c r="L73" s="1"/>
      <c r="M73" s="1"/>
      <c r="N73" s="1"/>
      <c r="O73" s="1"/>
      <c r="P73" s="1"/>
      <c r="Q73" s="1"/>
      <c r="R73" s="1"/>
      <c r="S73" s="1"/>
      <c r="T73" s="1"/>
      <c r="U73" s="1"/>
      <c r="V73" s="1"/>
      <c r="W73" s="1"/>
      <c r="X73" s="1"/>
      <c r="Y73" s="1"/>
      <c r="Z73" s="1"/>
      <c r="AA73" s="1"/>
      <c r="AB73" s="1"/>
      <c r="AC73" s="1"/>
    </row>
    <row r="74">
      <c r="A74" s="1"/>
      <c r="B74" s="7" t="s">
        <v>86</v>
      </c>
      <c r="C74" s="1"/>
      <c r="D74" s="1"/>
      <c r="E74" s="1"/>
      <c r="F74" s="7" t="s">
        <v>87</v>
      </c>
      <c r="G74" s="1"/>
      <c r="H74" s="1"/>
      <c r="I74" s="1"/>
      <c r="J74" s="41" t="str">
        <f>S38</f>
        <v/>
      </c>
      <c r="K74" s="67" t="s">
        <v>88</v>
      </c>
      <c r="L74" s="21" t="s">
        <v>75</v>
      </c>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41"/>
      <c r="K75" s="89"/>
      <c r="L75" s="1"/>
      <c r="M75" s="1"/>
      <c r="N75" s="1"/>
      <c r="O75" s="1"/>
      <c r="P75" s="1"/>
      <c r="Q75" s="1"/>
      <c r="R75" s="1"/>
      <c r="S75" s="1"/>
      <c r="T75" s="1"/>
      <c r="U75" s="1"/>
      <c r="V75" s="1"/>
      <c r="W75" s="1"/>
      <c r="X75" s="1"/>
      <c r="Y75" s="1"/>
      <c r="Z75" s="1"/>
      <c r="AA75" s="1"/>
      <c r="AB75" s="1"/>
      <c r="AC75" s="1"/>
    </row>
    <row r="76">
      <c r="A76" s="1"/>
      <c r="B76" s="32"/>
      <c r="C76" s="32"/>
      <c r="D76" s="32"/>
      <c r="E76" s="32"/>
      <c r="F76" s="32"/>
      <c r="G76" s="32"/>
      <c r="H76" s="32"/>
      <c r="I76" s="32"/>
      <c r="J76" s="88"/>
      <c r="K76" s="89"/>
      <c r="L76" s="1"/>
      <c r="M76" s="1"/>
      <c r="N76" s="1"/>
      <c r="O76" s="1"/>
      <c r="P76" s="1"/>
      <c r="Q76" s="1"/>
      <c r="R76" s="1"/>
      <c r="S76" s="1"/>
      <c r="T76" s="1"/>
      <c r="U76" s="1"/>
      <c r="V76" s="1"/>
      <c r="W76" s="1"/>
      <c r="X76" s="1"/>
      <c r="Y76" s="1"/>
      <c r="Z76" s="1"/>
      <c r="AA76" s="1"/>
      <c r="AB76" s="1"/>
      <c r="AC76" s="1"/>
    </row>
    <row r="77">
      <c r="A77" s="1"/>
      <c r="B77" s="37"/>
      <c r="C77" s="37"/>
      <c r="D77" s="37"/>
      <c r="E77" s="37"/>
      <c r="F77" s="37"/>
      <c r="G77" s="37"/>
      <c r="H77" s="37"/>
      <c r="I77" s="37"/>
      <c r="J77" s="37"/>
      <c r="K77" s="1"/>
      <c r="L77" s="1"/>
      <c r="M77" s="1"/>
      <c r="N77" s="1"/>
      <c r="O77" s="1"/>
      <c r="P77" s="1"/>
      <c r="Q77" s="1"/>
      <c r="R77" s="1"/>
      <c r="S77" s="1"/>
      <c r="T77" s="1"/>
      <c r="U77" s="1"/>
      <c r="V77" s="1"/>
      <c r="W77" s="1"/>
      <c r="X77" s="1"/>
      <c r="Y77" s="1"/>
      <c r="Z77" s="1"/>
      <c r="AA77" s="1"/>
      <c r="AB77" s="1"/>
      <c r="AC77" s="1"/>
    </row>
    <row r="78">
      <c r="A78" s="1"/>
      <c r="B78" s="1"/>
      <c r="C78" s="1"/>
      <c r="D78" s="1"/>
      <c r="E78" s="1"/>
      <c r="F78" s="96" t="s">
        <v>89</v>
      </c>
      <c r="G78" s="1"/>
      <c r="H78" s="1"/>
      <c r="I78" s="1"/>
      <c r="J78" s="1"/>
      <c r="K78" s="1"/>
      <c r="L78" s="1"/>
      <c r="M78" s="1"/>
      <c r="N78" s="1"/>
      <c r="O78" s="1"/>
      <c r="P78" s="1"/>
      <c r="Q78" s="1"/>
      <c r="R78" s="1"/>
      <c r="S78" s="1"/>
      <c r="T78" s="1"/>
      <c r="U78" s="1"/>
      <c r="V78" s="1"/>
      <c r="W78" s="1"/>
      <c r="X78" s="1"/>
      <c r="Y78" s="1"/>
      <c r="Z78" s="1"/>
      <c r="AA78" s="1"/>
      <c r="AB78" s="1"/>
      <c r="AC78" s="1"/>
    </row>
    <row r="79">
      <c r="A79" s="1"/>
      <c r="B79" s="7"/>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7"/>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7" t="s">
        <v>90</v>
      </c>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7" t="s">
        <v>91</v>
      </c>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row>
  </sheetData>
  <mergeCells count="49">
    <mergeCell ref="E26:F26"/>
    <mergeCell ref="E27:F27"/>
    <mergeCell ref="B31:C31"/>
    <mergeCell ref="B32:C32"/>
    <mergeCell ref="B33:C33"/>
    <mergeCell ref="B36:B37"/>
    <mergeCell ref="C36:D37"/>
    <mergeCell ref="C38:D38"/>
    <mergeCell ref="E38:F38"/>
    <mergeCell ref="C39:D39"/>
    <mergeCell ref="E39:F39"/>
    <mergeCell ref="E40:F40"/>
    <mergeCell ref="E41:F41"/>
    <mergeCell ref="E42:F42"/>
    <mergeCell ref="A4:B4"/>
    <mergeCell ref="E4:F4"/>
    <mergeCell ref="A5:J5"/>
    <mergeCell ref="A6:B6"/>
    <mergeCell ref="E6:F6"/>
    <mergeCell ref="E7:F7"/>
    <mergeCell ref="A8:J8"/>
    <mergeCell ref="E15:F15"/>
    <mergeCell ref="E16:F16"/>
    <mergeCell ref="A17:J17"/>
    <mergeCell ref="E9:F9"/>
    <mergeCell ref="E10:F10"/>
    <mergeCell ref="E11:F11"/>
    <mergeCell ref="A12:F12"/>
    <mergeCell ref="A13:F13"/>
    <mergeCell ref="A14:C14"/>
    <mergeCell ref="E14:F14"/>
    <mergeCell ref="A7:B7"/>
    <mergeCell ref="A9:B9"/>
    <mergeCell ref="A10:B10"/>
    <mergeCell ref="A11:B11"/>
    <mergeCell ref="A25:C25"/>
    <mergeCell ref="E25:F25"/>
    <mergeCell ref="A26:C26"/>
    <mergeCell ref="E36:F37"/>
    <mergeCell ref="G36:L36"/>
    <mergeCell ref="M36:O36"/>
    <mergeCell ref="Q36:Q37"/>
    <mergeCell ref="R36:R37"/>
    <mergeCell ref="S36:S37"/>
    <mergeCell ref="C41:D41"/>
    <mergeCell ref="C42:D42"/>
    <mergeCell ref="Q43:S43"/>
    <mergeCell ref="C40:D40"/>
    <mergeCell ref="B58:E58"/>
  </mergeCells>
  <drawing r:id="rId1"/>
</worksheet>
</file>